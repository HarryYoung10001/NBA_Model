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10785\Desktop\college education\math\model\2026.2\codes\files\"/>
    </mc:Choice>
  </mc:AlternateContent>
  <xr:revisionPtr revIDLastSave="0" documentId="13_ncr:1_{6B0DECF4-532F-4F2C-8B0F-BC6AED02CBA9}" xr6:coauthVersionLast="47" xr6:coauthVersionMax="47" xr10:uidLastSave="{00000000-0000-0000-0000-000000000000}"/>
  <bookViews>
    <workbookView xWindow="840" yWindow="2858" windowWidth="20205" windowHeight="998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1" i="1" l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L113" i="1"/>
  <c r="K113" i="1"/>
  <c r="L112" i="1"/>
  <c r="K112" i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L102" i="1"/>
  <c r="K102" i="1"/>
  <c r="L101" i="1"/>
  <c r="K101" i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L91" i="1"/>
  <c r="K91" i="1"/>
  <c r="L90" i="1"/>
  <c r="K90" i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L80" i="1"/>
  <c r="K80" i="1"/>
  <c r="L79" i="1"/>
  <c r="K79" i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L69" i="1"/>
  <c r="K69" i="1"/>
  <c r="L68" i="1"/>
  <c r="K68" i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L58" i="1"/>
  <c r="K58" i="1"/>
  <c r="L57" i="1"/>
  <c r="K57" i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L47" i="1"/>
  <c r="K47" i="1"/>
  <c r="L46" i="1"/>
  <c r="K46" i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L36" i="1"/>
  <c r="K36" i="1"/>
  <c r="L35" i="1"/>
  <c r="K35" i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L25" i="1"/>
  <c r="K25" i="1"/>
  <c r="L24" i="1"/>
  <c r="K24" i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L14" i="1"/>
  <c r="K14" i="1"/>
  <c r="L13" i="1"/>
  <c r="K13" i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L3" i="1"/>
  <c r="K3" i="1"/>
  <c r="L2" i="1"/>
  <c r="K2" i="1"/>
</calcChain>
</file>

<file path=xl/sharedStrings.xml><?xml version="1.0" encoding="utf-8"?>
<sst xmlns="http://schemas.openxmlformats.org/spreadsheetml/2006/main" count="252" uniqueCount="147">
  <si>
    <t>Rank_Weighted</t>
  </si>
  <si>
    <t>Team</t>
  </si>
  <si>
    <t>Weighted_Score</t>
  </si>
  <si>
    <t>Fan_Votes</t>
  </si>
  <si>
    <t>Fan_Rank</t>
  </si>
  <si>
    <t>Player_Votes</t>
  </si>
  <si>
    <t>Player_Rank</t>
  </si>
  <si>
    <t>Media_Votes</t>
  </si>
  <si>
    <t>Media_Rank</t>
  </si>
  <si>
    <t>Jalen Johnson</t>
  </si>
  <si>
    <t>ATL</t>
  </si>
  <si>
    <t>Nickeil Alexander-Walker</t>
  </si>
  <si>
    <t>CJ McCollum</t>
  </si>
  <si>
    <t>Dyson Daniels</t>
  </si>
  <si>
    <t>Onyeka Okongwu</t>
  </si>
  <si>
    <t>Kristaps Porzingis</t>
  </si>
  <si>
    <t>Vit Krejci</t>
  </si>
  <si>
    <t>Michael Porter Jr.</t>
  </si>
  <si>
    <t>BKN</t>
  </si>
  <si>
    <t>Danny Wolf</t>
  </si>
  <si>
    <t>Ben Saraf</t>
  </si>
  <si>
    <t>Cam Thomas</t>
  </si>
  <si>
    <t>Nic Claxton</t>
  </si>
  <si>
    <t>Egor Demin</t>
  </si>
  <si>
    <t>Noah Clowney</t>
  </si>
  <si>
    <t>Terance Mann</t>
  </si>
  <si>
    <t>Jaylen Brown</t>
  </si>
  <si>
    <t>BOS</t>
  </si>
  <si>
    <t>Derrick White</t>
  </si>
  <si>
    <t>Payton Pritchard</t>
  </si>
  <si>
    <t>Neemias Queta</t>
  </si>
  <si>
    <t>Anfernee Simons</t>
  </si>
  <si>
    <t>Jayson Tatum</t>
  </si>
  <si>
    <t>Jordan Walsh</t>
  </si>
  <si>
    <t>Hugo Gonzalez</t>
  </si>
  <si>
    <t>Luka Garza</t>
  </si>
  <si>
    <t>LaMelo Ball</t>
  </si>
  <si>
    <t>CHA</t>
  </si>
  <si>
    <t>Kon Knueppel</t>
  </si>
  <si>
    <t>Miles Bridges</t>
  </si>
  <si>
    <t>Brandon Miller</t>
  </si>
  <si>
    <t>Tre Mann</t>
  </si>
  <si>
    <t>Moussa Diabate</t>
  </si>
  <si>
    <t>Josh Giddey</t>
  </si>
  <si>
    <t>CHI</t>
  </si>
  <si>
    <t>Coby White</t>
  </si>
  <si>
    <t>Nikola Vucevic</t>
  </si>
  <si>
    <t>Matas Buzelis</t>
  </si>
  <si>
    <t>Tre Jones</t>
  </si>
  <si>
    <t>Ayo Dosunmu</t>
  </si>
  <si>
    <t>Donovan Mitchell</t>
  </si>
  <si>
    <t>CLE</t>
  </si>
  <si>
    <t>Evan Mobley</t>
  </si>
  <si>
    <t>Darius Garland</t>
  </si>
  <si>
    <t>Jarrett Allen</t>
  </si>
  <si>
    <t>Sam Merrill</t>
  </si>
  <si>
    <t>Lonzo Ball</t>
  </si>
  <si>
    <t>De'Andre Hunter</t>
  </si>
  <si>
    <t>Jaylon Tyson</t>
  </si>
  <si>
    <t>Cade Cunningham</t>
  </si>
  <si>
    <t>DET</t>
  </si>
  <si>
    <t>Jalen Duren</t>
  </si>
  <si>
    <t>Ausar Thompson</t>
  </si>
  <si>
    <t>Isaiah Stewart</t>
  </si>
  <si>
    <t>Tobias Harris</t>
  </si>
  <si>
    <t>Duncan Robinson</t>
  </si>
  <si>
    <t>Ronald Holland II</t>
  </si>
  <si>
    <t>Jaden Ivey</t>
  </si>
  <si>
    <t>Pascal Siakam</t>
  </si>
  <si>
    <t>IND</t>
  </si>
  <si>
    <t>Andrew Nembhard</t>
  </si>
  <si>
    <t>Bennedict Mathurin</t>
  </si>
  <si>
    <t>T.J. McConnell</t>
  </si>
  <si>
    <t>Aaron Nesmith</t>
  </si>
  <si>
    <t>Jay Huff</t>
  </si>
  <si>
    <t>Tyrese Haliburton</t>
  </si>
  <si>
    <t>Johnny Furphy</t>
  </si>
  <si>
    <t>Obi Toppin</t>
  </si>
  <si>
    <t>Norman Powell</t>
  </si>
  <si>
    <t>MIA</t>
  </si>
  <si>
    <t>Bam Adebayo</t>
  </si>
  <si>
    <t>Tyler Herro</t>
  </si>
  <si>
    <t>Andrew Wiggins</t>
  </si>
  <si>
    <t>Jaime Jaquez Jr.</t>
  </si>
  <si>
    <t>Kel'el Ware</t>
  </si>
  <si>
    <t>Nikola Jovic</t>
  </si>
  <si>
    <t>Davion Mitchell</t>
  </si>
  <si>
    <t>Simone Fontecchio</t>
  </si>
  <si>
    <t>Giannis Antetokounmpo</t>
  </si>
  <si>
    <t>MIL</t>
  </si>
  <si>
    <t>Kevin Porter Jr.</t>
  </si>
  <si>
    <t>Kyle Kuzma</t>
  </si>
  <si>
    <t>Thanasis Antetokounmpo</t>
  </si>
  <si>
    <t>Ryan Rollins</t>
  </si>
  <si>
    <t>Bobby Portis</t>
  </si>
  <si>
    <t>Myles Turner</t>
  </si>
  <si>
    <t>Alex Antetokounmpo</t>
  </si>
  <si>
    <t>AJ Green</t>
  </si>
  <si>
    <t>Jalen Brunson</t>
  </si>
  <si>
    <t>NYK</t>
  </si>
  <si>
    <t>Karl-Anthony Towns</t>
  </si>
  <si>
    <t>OG Anunoby</t>
  </si>
  <si>
    <t>Mikal Bridges</t>
  </si>
  <si>
    <t>Josh Hart</t>
  </si>
  <si>
    <t>Jordan Clarkson</t>
  </si>
  <si>
    <t>Tyler Kolek</t>
  </si>
  <si>
    <t>Miles McBride</t>
  </si>
  <si>
    <t>Guerschon Yabusele</t>
  </si>
  <si>
    <t>Mitchell Robinson</t>
  </si>
  <si>
    <t>Paolo Banchero</t>
  </si>
  <si>
    <t>ORL</t>
  </si>
  <si>
    <t>Franz Wagner</t>
  </si>
  <si>
    <t>Desmond Bane</t>
  </si>
  <si>
    <t>Anthony Black</t>
  </si>
  <si>
    <t>Jalen Suggs</t>
  </si>
  <si>
    <t>Tristan da Silva</t>
  </si>
  <si>
    <t>Wendell Carter Jr.</t>
  </si>
  <si>
    <t>Tyrese Maxey</t>
  </si>
  <si>
    <t>PHI</t>
  </si>
  <si>
    <t>Joel Embiid</t>
  </si>
  <si>
    <t>VJ Edgecombe</t>
  </si>
  <si>
    <t>Paul George</t>
  </si>
  <si>
    <t>Adem Bona</t>
  </si>
  <si>
    <t>Quentin Grimes</t>
  </si>
  <si>
    <t>Jared McCain</t>
  </si>
  <si>
    <t>Andre Drummond</t>
  </si>
  <si>
    <t>Kelly Oubre Jr.</t>
  </si>
  <si>
    <t>Brandon Ingram</t>
  </si>
  <si>
    <t>TOR</t>
  </si>
  <si>
    <t>Scottie Barnes</t>
  </si>
  <si>
    <t>RJ Barrett</t>
  </si>
  <si>
    <t>Immanuel Quickley</t>
  </si>
  <si>
    <t>Jakob Poeltl</t>
  </si>
  <si>
    <t>Jamal Shead</t>
  </si>
  <si>
    <t>Gradey Dick</t>
  </si>
  <si>
    <t>Collin Murray-Boyles</t>
  </si>
  <si>
    <t>Sandro Mamukelashvili</t>
  </si>
  <si>
    <t>Trae Young</t>
  </si>
  <si>
    <t>WAS</t>
  </si>
  <si>
    <t>Alex Sarr</t>
  </si>
  <si>
    <t>Bilal Coulibaly</t>
  </si>
  <si>
    <t>Kyshawn George</t>
  </si>
  <si>
    <t>Tre Johnson</t>
  </si>
  <si>
    <t>Bub Carrington</t>
  </si>
  <si>
    <t>final_commercial_score</t>
    <phoneticPr fontId="1" type="noConversion"/>
  </si>
  <si>
    <t>commercial_value</t>
    <phoneticPr fontId="1" type="noConversion"/>
  </si>
  <si>
    <t>Player_Name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</si>
</sst>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O7" sqref="O7"/>
    </sheetView>
  </sheetViews>
  <sheetFormatPr defaultColWidth="9.19921875" defaultRowHeight="13.5" x14ac:dyDescent="0.3"/>
  <cols>
    <col min="10" max="10" width="18.3984375" customWidth="1"/>
    <col min="11" max="12" width="12.9296875"/>
  </cols>
  <sheetData>
    <row r="1" spans="1:12" x14ac:dyDescent="0.3">
      <c r="A1" t="s">
        <v>0</v>
      </c>
      <c r="B1" s="1" t="s">
        <v>146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145</v>
      </c>
      <c r="L1" s="1" t="s">
        <v>144</v>
      </c>
    </row>
    <row r="2" spans="1:12" x14ac:dyDescent="0.3">
      <c r="A2">
        <v>8</v>
      </c>
      <c r="B2" t="s">
        <v>9</v>
      </c>
      <c r="C2" t="s">
        <v>10</v>
      </c>
      <c r="D2">
        <v>7.75</v>
      </c>
      <c r="E2">
        <v>794898</v>
      </c>
      <c r="F2">
        <v>8</v>
      </c>
      <c r="G2">
        <v>60</v>
      </c>
      <c r="H2">
        <v>7</v>
      </c>
      <c r="I2">
        <v>5</v>
      </c>
      <c r="J2">
        <v>8</v>
      </c>
      <c r="K2">
        <f t="shared" ref="K2:K33" si="0">(MAX(D:D)-D2)/(MAX(D:D)-MIN(D:D))</f>
        <v>0.94148936170212771</v>
      </c>
      <c r="L2">
        <f t="shared" ref="L2:L33" si="1">(EXP(10*K2)-1)/(EXP(10)-1)</f>
        <v>0.55702648741713867</v>
      </c>
    </row>
    <row r="3" spans="1:12" x14ac:dyDescent="0.3">
      <c r="A3">
        <v>25</v>
      </c>
      <c r="B3" t="s">
        <v>11</v>
      </c>
      <c r="C3" t="s">
        <v>10</v>
      </c>
      <c r="D3">
        <v>23.75</v>
      </c>
      <c r="E3">
        <v>136380</v>
      </c>
      <c r="F3">
        <v>33</v>
      </c>
      <c r="G3">
        <v>26</v>
      </c>
      <c r="H3">
        <v>16</v>
      </c>
      <c r="I3">
        <v>0</v>
      </c>
      <c r="J3">
        <v>13</v>
      </c>
      <c r="K3">
        <f t="shared" si="0"/>
        <v>0.77127659574468088</v>
      </c>
      <c r="L3">
        <f t="shared" si="1"/>
        <v>0.10150615674875792</v>
      </c>
    </row>
    <row r="4" spans="1:12" x14ac:dyDescent="0.3">
      <c r="A4">
        <v>43</v>
      </c>
      <c r="B4" t="s">
        <v>12</v>
      </c>
      <c r="C4" t="s">
        <v>10</v>
      </c>
      <c r="D4">
        <v>40.5</v>
      </c>
      <c r="E4">
        <v>54248</v>
      </c>
      <c r="F4">
        <v>53</v>
      </c>
      <c r="G4">
        <v>8</v>
      </c>
      <c r="H4">
        <v>43</v>
      </c>
      <c r="I4">
        <v>0</v>
      </c>
      <c r="J4">
        <v>13</v>
      </c>
      <c r="K4">
        <f t="shared" si="0"/>
        <v>0.59308510638297873</v>
      </c>
      <c r="L4">
        <f t="shared" si="1"/>
        <v>1.7047302658145046E-2</v>
      </c>
    </row>
    <row r="5" spans="1:12" x14ac:dyDescent="0.3">
      <c r="A5">
        <v>60</v>
      </c>
      <c r="B5" t="s">
        <v>13</v>
      </c>
      <c r="C5" t="s">
        <v>10</v>
      </c>
      <c r="D5">
        <v>51.5</v>
      </c>
      <c r="E5">
        <v>31501</v>
      </c>
      <c r="F5">
        <v>63</v>
      </c>
      <c r="G5">
        <v>4</v>
      </c>
      <c r="H5">
        <v>67</v>
      </c>
      <c r="I5">
        <v>0</v>
      </c>
      <c r="J5">
        <v>13</v>
      </c>
      <c r="K5">
        <f t="shared" si="0"/>
        <v>0.47606382978723405</v>
      </c>
      <c r="L5">
        <f t="shared" si="1"/>
        <v>5.2584798633417106E-3</v>
      </c>
    </row>
    <row r="6" spans="1:12" x14ac:dyDescent="0.3">
      <c r="A6">
        <v>64</v>
      </c>
      <c r="B6" t="s">
        <v>14</v>
      </c>
      <c r="C6" t="s">
        <v>10</v>
      </c>
      <c r="D6">
        <v>53.5</v>
      </c>
      <c r="E6">
        <v>23220</v>
      </c>
      <c r="F6">
        <v>74</v>
      </c>
      <c r="G6">
        <v>6</v>
      </c>
      <c r="H6">
        <v>53</v>
      </c>
      <c r="I6">
        <v>0</v>
      </c>
      <c r="J6">
        <v>13</v>
      </c>
      <c r="K6">
        <f t="shared" si="0"/>
        <v>0.45478723404255317</v>
      </c>
      <c r="L6">
        <f t="shared" si="1"/>
        <v>4.2419659897911643E-3</v>
      </c>
    </row>
    <row r="7" spans="1:12" x14ac:dyDescent="0.3">
      <c r="A7">
        <v>72</v>
      </c>
      <c r="B7" t="s">
        <v>15</v>
      </c>
      <c r="C7" t="s">
        <v>10</v>
      </c>
      <c r="D7">
        <v>57.5</v>
      </c>
      <c r="E7">
        <v>58210</v>
      </c>
      <c r="F7">
        <v>47</v>
      </c>
      <c r="G7">
        <v>1</v>
      </c>
      <c r="H7">
        <v>123</v>
      </c>
      <c r="I7">
        <v>0</v>
      </c>
      <c r="J7">
        <v>13</v>
      </c>
      <c r="K7">
        <f t="shared" si="0"/>
        <v>0.41223404255319152</v>
      </c>
      <c r="L7">
        <f t="shared" si="1"/>
        <v>2.7560591172998642E-3</v>
      </c>
    </row>
    <row r="8" spans="1:12" x14ac:dyDescent="0.3">
      <c r="A8">
        <v>117</v>
      </c>
      <c r="B8" t="s">
        <v>16</v>
      </c>
      <c r="C8" t="s">
        <v>10</v>
      </c>
      <c r="D8">
        <v>93.5</v>
      </c>
      <c r="E8">
        <v>7614</v>
      </c>
      <c r="F8">
        <v>119</v>
      </c>
      <c r="G8">
        <v>1</v>
      </c>
      <c r="H8">
        <v>123</v>
      </c>
      <c r="I8">
        <v>0</v>
      </c>
      <c r="J8">
        <v>13</v>
      </c>
      <c r="K8">
        <f t="shared" si="0"/>
        <v>2.9255319148936171E-2</v>
      </c>
      <c r="L8">
        <f t="shared" si="1"/>
        <v>1.5429594367382352E-5</v>
      </c>
    </row>
    <row r="9" spans="1:12" x14ac:dyDescent="0.3">
      <c r="A9">
        <v>9</v>
      </c>
      <c r="B9" t="s">
        <v>17</v>
      </c>
      <c r="C9" t="s">
        <v>18</v>
      </c>
      <c r="D9">
        <v>9.5</v>
      </c>
      <c r="E9">
        <v>536683</v>
      </c>
      <c r="F9">
        <v>9</v>
      </c>
      <c r="G9">
        <v>37</v>
      </c>
      <c r="H9">
        <v>10</v>
      </c>
      <c r="I9">
        <v>1</v>
      </c>
      <c r="J9">
        <v>10</v>
      </c>
      <c r="K9">
        <f t="shared" si="0"/>
        <v>0.9228723404255319</v>
      </c>
      <c r="L9">
        <f t="shared" si="1"/>
        <v>0.46239795782847354</v>
      </c>
    </row>
    <row r="10" spans="1:12" x14ac:dyDescent="0.3">
      <c r="A10">
        <v>46</v>
      </c>
      <c r="B10" t="s">
        <v>19</v>
      </c>
      <c r="C10" t="s">
        <v>18</v>
      </c>
      <c r="D10">
        <v>43.25</v>
      </c>
      <c r="E10">
        <v>106523</v>
      </c>
      <c r="F10">
        <v>36</v>
      </c>
      <c r="G10">
        <v>2</v>
      </c>
      <c r="H10">
        <v>88</v>
      </c>
      <c r="I10">
        <v>0</v>
      </c>
      <c r="J10">
        <v>13</v>
      </c>
      <c r="K10">
        <f t="shared" si="0"/>
        <v>0.56382978723404253</v>
      </c>
      <c r="L10">
        <f t="shared" si="1"/>
        <v>1.2711832889551114E-2</v>
      </c>
    </row>
    <row r="11" spans="1:12" x14ac:dyDescent="0.3">
      <c r="A11">
        <v>48</v>
      </c>
      <c r="B11" t="s">
        <v>20</v>
      </c>
      <c r="C11" t="s">
        <v>18</v>
      </c>
      <c r="D11">
        <v>43.75</v>
      </c>
      <c r="E11">
        <v>99574</v>
      </c>
      <c r="F11">
        <v>37</v>
      </c>
      <c r="G11">
        <v>2</v>
      </c>
      <c r="H11">
        <v>88</v>
      </c>
      <c r="I11">
        <v>0</v>
      </c>
      <c r="J11">
        <v>13</v>
      </c>
      <c r="K11">
        <f t="shared" si="0"/>
        <v>0.55851063829787229</v>
      </c>
      <c r="L11">
        <f t="shared" si="1"/>
        <v>1.2050988032461248E-2</v>
      </c>
    </row>
    <row r="12" spans="1:12" x14ac:dyDescent="0.3">
      <c r="A12">
        <v>57</v>
      </c>
      <c r="B12" t="s">
        <v>21</v>
      </c>
      <c r="C12" t="s">
        <v>18</v>
      </c>
      <c r="D12">
        <v>49.75</v>
      </c>
      <c r="E12">
        <v>56582</v>
      </c>
      <c r="F12">
        <v>49</v>
      </c>
      <c r="G12">
        <v>2</v>
      </c>
      <c r="H12">
        <v>88</v>
      </c>
      <c r="I12">
        <v>0</v>
      </c>
      <c r="J12">
        <v>13</v>
      </c>
      <c r="K12">
        <f t="shared" si="0"/>
        <v>0.49468085106382981</v>
      </c>
      <c r="L12">
        <f t="shared" si="1"/>
        <v>6.3437988117750746E-3</v>
      </c>
    </row>
    <row r="13" spans="1:12" x14ac:dyDescent="0.3">
      <c r="A13">
        <v>59</v>
      </c>
      <c r="B13" t="s">
        <v>22</v>
      </c>
      <c r="C13" t="s">
        <v>18</v>
      </c>
      <c r="D13">
        <v>50</v>
      </c>
      <c r="E13">
        <v>25983</v>
      </c>
      <c r="F13">
        <v>72</v>
      </c>
      <c r="G13">
        <v>8</v>
      </c>
      <c r="H13">
        <v>43</v>
      </c>
      <c r="I13">
        <v>0</v>
      </c>
      <c r="J13">
        <v>13</v>
      </c>
      <c r="K13">
        <f t="shared" si="0"/>
        <v>0.49202127659574468</v>
      </c>
      <c r="L13">
        <f t="shared" si="1"/>
        <v>6.1761130069694324E-3</v>
      </c>
    </row>
    <row r="14" spans="1:12" x14ac:dyDescent="0.3">
      <c r="A14">
        <v>77</v>
      </c>
      <c r="B14" t="s">
        <v>23</v>
      </c>
      <c r="C14" t="s">
        <v>18</v>
      </c>
      <c r="D14">
        <v>64.25</v>
      </c>
      <c r="E14">
        <v>17107</v>
      </c>
      <c r="F14">
        <v>84</v>
      </c>
      <c r="G14">
        <v>3</v>
      </c>
      <c r="H14">
        <v>76</v>
      </c>
      <c r="I14">
        <v>0</v>
      </c>
      <c r="J14">
        <v>13</v>
      </c>
      <c r="K14">
        <f t="shared" si="0"/>
        <v>0.34042553191489361</v>
      </c>
      <c r="L14">
        <f t="shared" si="1"/>
        <v>1.3208292075834742E-3</v>
      </c>
    </row>
    <row r="15" spans="1:12" x14ac:dyDescent="0.3">
      <c r="A15">
        <v>78</v>
      </c>
      <c r="B15" t="s">
        <v>24</v>
      </c>
      <c r="C15" t="s">
        <v>18</v>
      </c>
      <c r="D15">
        <v>65</v>
      </c>
      <c r="E15">
        <v>15886</v>
      </c>
      <c r="F15">
        <v>90</v>
      </c>
      <c r="G15">
        <v>4</v>
      </c>
      <c r="H15">
        <v>67</v>
      </c>
      <c r="I15">
        <v>0</v>
      </c>
      <c r="J15">
        <v>13</v>
      </c>
      <c r="K15">
        <f t="shared" si="0"/>
        <v>0.33244680851063829</v>
      </c>
      <c r="L15">
        <f t="shared" si="1"/>
        <v>1.2160567282765698E-3</v>
      </c>
    </row>
    <row r="16" spans="1:12" x14ac:dyDescent="0.3">
      <c r="A16">
        <v>105</v>
      </c>
      <c r="B16" t="s">
        <v>25</v>
      </c>
      <c r="C16" t="s">
        <v>18</v>
      </c>
      <c r="D16">
        <v>82.25</v>
      </c>
      <c r="E16">
        <v>8747</v>
      </c>
      <c r="F16">
        <v>114</v>
      </c>
      <c r="G16">
        <v>2</v>
      </c>
      <c r="H16">
        <v>88</v>
      </c>
      <c r="I16">
        <v>0</v>
      </c>
      <c r="J16">
        <v>13</v>
      </c>
      <c r="K16">
        <f t="shared" si="0"/>
        <v>0.14893617021276595</v>
      </c>
      <c r="L16">
        <f t="shared" si="1"/>
        <v>1.5592243388023894E-4</v>
      </c>
    </row>
    <row r="17" spans="1:12" x14ac:dyDescent="0.3">
      <c r="A17">
        <v>5</v>
      </c>
      <c r="B17" t="s">
        <v>26</v>
      </c>
      <c r="C17" t="s">
        <v>27</v>
      </c>
      <c r="D17">
        <v>3.5</v>
      </c>
      <c r="E17">
        <v>2477073</v>
      </c>
      <c r="F17">
        <v>5</v>
      </c>
      <c r="G17">
        <v>138</v>
      </c>
      <c r="H17">
        <v>3</v>
      </c>
      <c r="I17">
        <v>98</v>
      </c>
      <c r="J17">
        <v>1</v>
      </c>
      <c r="K17">
        <f t="shared" si="0"/>
        <v>0.98670212765957444</v>
      </c>
      <c r="L17">
        <f t="shared" si="1"/>
        <v>0.87547806593672428</v>
      </c>
    </row>
    <row r="18" spans="1:12" x14ac:dyDescent="0.3">
      <c r="A18">
        <v>20</v>
      </c>
      <c r="B18" t="s">
        <v>28</v>
      </c>
      <c r="C18" t="s">
        <v>27</v>
      </c>
      <c r="D18">
        <v>19.5</v>
      </c>
      <c r="E18">
        <v>247925</v>
      </c>
      <c r="F18">
        <v>24</v>
      </c>
      <c r="G18">
        <v>24</v>
      </c>
      <c r="H18">
        <v>17</v>
      </c>
      <c r="I18">
        <v>0</v>
      </c>
      <c r="J18">
        <v>13</v>
      </c>
      <c r="K18">
        <f t="shared" si="0"/>
        <v>0.81648936170212771</v>
      </c>
      <c r="L18">
        <f t="shared" si="1"/>
        <v>0.15955836652039415</v>
      </c>
    </row>
    <row r="19" spans="1:12" x14ac:dyDescent="0.3">
      <c r="A19">
        <v>26</v>
      </c>
      <c r="B19" t="s">
        <v>29</v>
      </c>
      <c r="C19" t="s">
        <v>27</v>
      </c>
      <c r="D19">
        <v>25.25</v>
      </c>
      <c r="E19">
        <v>148622</v>
      </c>
      <c r="F19">
        <v>32</v>
      </c>
      <c r="G19">
        <v>19</v>
      </c>
      <c r="H19">
        <v>24</v>
      </c>
      <c r="I19">
        <v>0</v>
      </c>
      <c r="J19">
        <v>13</v>
      </c>
      <c r="K19">
        <f t="shared" si="0"/>
        <v>0.75531914893617025</v>
      </c>
      <c r="L19">
        <f t="shared" si="1"/>
        <v>8.652795994027361E-2</v>
      </c>
    </row>
    <row r="20" spans="1:12" x14ac:dyDescent="0.3">
      <c r="A20">
        <v>33</v>
      </c>
      <c r="B20" t="s">
        <v>30</v>
      </c>
      <c r="C20" t="s">
        <v>27</v>
      </c>
      <c r="D20">
        <v>29.5</v>
      </c>
      <c r="E20">
        <v>71854</v>
      </c>
      <c r="F20">
        <v>40</v>
      </c>
      <c r="G20">
        <v>18</v>
      </c>
      <c r="H20">
        <v>25</v>
      </c>
      <c r="I20">
        <v>0</v>
      </c>
      <c r="J20">
        <v>13</v>
      </c>
      <c r="K20">
        <f t="shared" si="0"/>
        <v>0.71010638297872342</v>
      </c>
      <c r="L20">
        <f t="shared" si="1"/>
        <v>5.5038885375523976E-2</v>
      </c>
    </row>
    <row r="21" spans="1:12" x14ac:dyDescent="0.3">
      <c r="A21">
        <v>39</v>
      </c>
      <c r="B21" t="s">
        <v>31</v>
      </c>
      <c r="C21" t="s">
        <v>27</v>
      </c>
      <c r="D21">
        <v>37.5</v>
      </c>
      <c r="E21">
        <v>37066</v>
      </c>
      <c r="F21">
        <v>59</v>
      </c>
      <c r="G21">
        <v>23</v>
      </c>
      <c r="H21">
        <v>19</v>
      </c>
      <c r="I21">
        <v>0</v>
      </c>
      <c r="J21">
        <v>13</v>
      </c>
      <c r="K21">
        <f t="shared" si="0"/>
        <v>0.625</v>
      </c>
      <c r="L21">
        <f t="shared" si="1"/>
        <v>2.347341161748534E-2</v>
      </c>
    </row>
    <row r="22" spans="1:12" x14ac:dyDescent="0.3">
      <c r="A22">
        <v>66</v>
      </c>
      <c r="B22" t="s">
        <v>32</v>
      </c>
      <c r="C22" t="s">
        <v>27</v>
      </c>
      <c r="D22">
        <v>55.5</v>
      </c>
      <c r="E22">
        <v>61378</v>
      </c>
      <c r="F22">
        <v>43</v>
      </c>
      <c r="G22">
        <v>1</v>
      </c>
      <c r="H22">
        <v>123</v>
      </c>
      <c r="I22">
        <v>0</v>
      </c>
      <c r="J22">
        <v>13</v>
      </c>
      <c r="K22">
        <f t="shared" si="0"/>
        <v>0.43351063829787234</v>
      </c>
      <c r="L22">
        <f t="shared" si="1"/>
        <v>3.420271775406482E-3</v>
      </c>
    </row>
    <row r="23" spans="1:12" x14ac:dyDescent="0.3">
      <c r="A23">
        <v>81</v>
      </c>
      <c r="B23" t="s">
        <v>33</v>
      </c>
      <c r="C23" t="s">
        <v>27</v>
      </c>
      <c r="D23">
        <v>68.5</v>
      </c>
      <c r="E23">
        <v>26971</v>
      </c>
      <c r="F23">
        <v>69</v>
      </c>
      <c r="G23">
        <v>1</v>
      </c>
      <c r="H23">
        <v>123</v>
      </c>
      <c r="I23">
        <v>0</v>
      </c>
      <c r="J23">
        <v>13</v>
      </c>
      <c r="K23">
        <f t="shared" si="0"/>
        <v>0.29521276595744683</v>
      </c>
      <c r="L23">
        <f t="shared" si="1"/>
        <v>8.2389394799017E-4</v>
      </c>
    </row>
    <row r="24" spans="1:12" x14ac:dyDescent="0.3">
      <c r="A24">
        <v>90</v>
      </c>
      <c r="B24" t="s">
        <v>34</v>
      </c>
      <c r="C24" t="s">
        <v>27</v>
      </c>
      <c r="D24">
        <v>74</v>
      </c>
      <c r="E24">
        <v>18475</v>
      </c>
      <c r="F24">
        <v>80</v>
      </c>
      <c r="G24">
        <v>1</v>
      </c>
      <c r="H24">
        <v>123</v>
      </c>
      <c r="I24">
        <v>0</v>
      </c>
      <c r="J24">
        <v>13</v>
      </c>
      <c r="K24">
        <f t="shared" si="0"/>
        <v>0.23670212765957446</v>
      </c>
      <c r="L24">
        <f t="shared" si="1"/>
        <v>4.3883635479876996E-4</v>
      </c>
    </row>
    <row r="25" spans="1:12" x14ac:dyDescent="0.3">
      <c r="A25">
        <v>112</v>
      </c>
      <c r="B25" t="s">
        <v>35</v>
      </c>
      <c r="C25" t="s">
        <v>27</v>
      </c>
      <c r="D25">
        <v>89</v>
      </c>
      <c r="E25">
        <v>10758</v>
      </c>
      <c r="F25">
        <v>110</v>
      </c>
      <c r="G25">
        <v>1</v>
      </c>
      <c r="H25">
        <v>123</v>
      </c>
      <c r="I25">
        <v>0</v>
      </c>
      <c r="J25">
        <v>13</v>
      </c>
      <c r="K25">
        <f t="shared" si="0"/>
        <v>7.7127659574468085E-2</v>
      </c>
      <c r="L25">
        <f t="shared" si="1"/>
        <v>5.2780956991120558E-5</v>
      </c>
    </row>
    <row r="26" spans="1:12" x14ac:dyDescent="0.3">
      <c r="A26">
        <v>16</v>
      </c>
      <c r="B26" t="s">
        <v>36</v>
      </c>
      <c r="C26" t="s">
        <v>37</v>
      </c>
      <c r="D26">
        <v>15</v>
      </c>
      <c r="E26">
        <v>418854</v>
      </c>
      <c r="F26">
        <v>13</v>
      </c>
      <c r="G26">
        <v>21</v>
      </c>
      <c r="H26">
        <v>21</v>
      </c>
      <c r="I26">
        <v>0</v>
      </c>
      <c r="J26">
        <v>13</v>
      </c>
      <c r="K26">
        <f t="shared" si="0"/>
        <v>0.86436170212765961</v>
      </c>
      <c r="L26">
        <f t="shared" si="1"/>
        <v>0.25755709854146841</v>
      </c>
    </row>
    <row r="27" spans="1:12" x14ac:dyDescent="0.3">
      <c r="A27">
        <v>31</v>
      </c>
      <c r="B27" t="s">
        <v>38</v>
      </c>
      <c r="C27" t="s">
        <v>37</v>
      </c>
      <c r="D27">
        <v>27.5</v>
      </c>
      <c r="E27">
        <v>211382</v>
      </c>
      <c r="F27">
        <v>27</v>
      </c>
      <c r="G27">
        <v>8</v>
      </c>
      <c r="H27">
        <v>43</v>
      </c>
      <c r="I27">
        <v>0</v>
      </c>
      <c r="J27">
        <v>13</v>
      </c>
      <c r="K27">
        <f t="shared" si="0"/>
        <v>0.7313829787234043</v>
      </c>
      <c r="L27">
        <f t="shared" si="1"/>
        <v>6.809909914151549E-2</v>
      </c>
    </row>
    <row r="28" spans="1:12" x14ac:dyDescent="0.3">
      <c r="A28">
        <v>50</v>
      </c>
      <c r="B28" t="s">
        <v>39</v>
      </c>
      <c r="C28" t="s">
        <v>37</v>
      </c>
      <c r="D28">
        <v>44.5</v>
      </c>
      <c r="E28">
        <v>55257</v>
      </c>
      <c r="F28">
        <v>52</v>
      </c>
      <c r="G28">
        <v>5</v>
      </c>
      <c r="H28">
        <v>61</v>
      </c>
      <c r="I28">
        <v>0</v>
      </c>
      <c r="J28">
        <v>13</v>
      </c>
      <c r="K28">
        <f t="shared" si="0"/>
        <v>0.55053191489361697</v>
      </c>
      <c r="L28">
        <f t="shared" si="1"/>
        <v>1.1123349449235077E-2</v>
      </c>
    </row>
    <row r="29" spans="1:12" x14ac:dyDescent="0.3">
      <c r="A29">
        <v>56</v>
      </c>
      <c r="B29" t="s">
        <v>40</v>
      </c>
      <c r="C29" t="s">
        <v>37</v>
      </c>
      <c r="D29">
        <v>47</v>
      </c>
      <c r="E29">
        <v>53453</v>
      </c>
      <c r="F29">
        <v>54</v>
      </c>
      <c r="G29">
        <v>4</v>
      </c>
      <c r="H29">
        <v>67</v>
      </c>
      <c r="I29">
        <v>0</v>
      </c>
      <c r="J29">
        <v>13</v>
      </c>
      <c r="K29">
        <f t="shared" si="0"/>
        <v>0.52393617021276595</v>
      </c>
      <c r="L29">
        <f t="shared" si="1"/>
        <v>8.5151303883503685E-3</v>
      </c>
    </row>
    <row r="30" spans="1:12" x14ac:dyDescent="0.3">
      <c r="A30">
        <v>103</v>
      </c>
      <c r="B30" t="s">
        <v>41</v>
      </c>
      <c r="C30" t="s">
        <v>37</v>
      </c>
      <c r="D30">
        <v>81.5</v>
      </c>
      <c r="E30">
        <v>6832</v>
      </c>
      <c r="F30">
        <v>123</v>
      </c>
      <c r="G30">
        <v>4</v>
      </c>
      <c r="H30">
        <v>67</v>
      </c>
      <c r="I30">
        <v>0</v>
      </c>
      <c r="J30">
        <v>13</v>
      </c>
      <c r="K30">
        <f t="shared" si="0"/>
        <v>0.15691489361702127</v>
      </c>
      <c r="L30">
        <f t="shared" si="1"/>
        <v>1.7264375723253145E-4</v>
      </c>
    </row>
    <row r="31" spans="1:12" x14ac:dyDescent="0.3">
      <c r="A31">
        <v>106</v>
      </c>
      <c r="B31" t="s">
        <v>42</v>
      </c>
      <c r="C31" t="s">
        <v>37</v>
      </c>
      <c r="D31">
        <v>83.25</v>
      </c>
      <c r="E31">
        <v>8588</v>
      </c>
      <c r="F31">
        <v>116</v>
      </c>
      <c r="G31">
        <v>2</v>
      </c>
      <c r="H31">
        <v>88</v>
      </c>
      <c r="I31">
        <v>0</v>
      </c>
      <c r="J31">
        <v>13</v>
      </c>
      <c r="K31">
        <f t="shared" si="0"/>
        <v>0.13829787234042554</v>
      </c>
      <c r="L31">
        <f t="shared" si="1"/>
        <v>1.3560482396102332E-4</v>
      </c>
    </row>
    <row r="32" spans="1:12" x14ac:dyDescent="0.3">
      <c r="A32">
        <v>19</v>
      </c>
      <c r="B32" t="s">
        <v>43</v>
      </c>
      <c r="C32" t="s">
        <v>44</v>
      </c>
      <c r="D32">
        <v>19</v>
      </c>
      <c r="E32">
        <v>279408</v>
      </c>
      <c r="F32">
        <v>21</v>
      </c>
      <c r="G32">
        <v>21</v>
      </c>
      <c r="H32">
        <v>21</v>
      </c>
      <c r="I32">
        <v>0</v>
      </c>
      <c r="J32">
        <v>13</v>
      </c>
      <c r="K32">
        <f t="shared" si="0"/>
        <v>0.82180851063829785</v>
      </c>
      <c r="L32">
        <f t="shared" si="1"/>
        <v>0.16827777201147609</v>
      </c>
    </row>
    <row r="33" spans="1:12" x14ac:dyDescent="0.3">
      <c r="A33">
        <v>37</v>
      </c>
      <c r="B33" t="s">
        <v>45</v>
      </c>
      <c r="C33" t="s">
        <v>44</v>
      </c>
      <c r="D33">
        <v>33.5</v>
      </c>
      <c r="E33">
        <v>69343</v>
      </c>
      <c r="F33">
        <v>41</v>
      </c>
      <c r="G33">
        <v>10</v>
      </c>
      <c r="H33">
        <v>39</v>
      </c>
      <c r="I33">
        <v>0</v>
      </c>
      <c r="J33">
        <v>13</v>
      </c>
      <c r="K33">
        <f t="shared" si="0"/>
        <v>0.66755319148936165</v>
      </c>
      <c r="L33">
        <f t="shared" si="1"/>
        <v>3.5947890263662997E-2</v>
      </c>
    </row>
    <row r="34" spans="1:12" x14ac:dyDescent="0.3">
      <c r="A34">
        <v>42</v>
      </c>
      <c r="B34" t="s">
        <v>46</v>
      </c>
      <c r="C34" t="s">
        <v>44</v>
      </c>
      <c r="D34">
        <v>40</v>
      </c>
      <c r="E34">
        <v>44454</v>
      </c>
      <c r="F34">
        <v>57</v>
      </c>
      <c r="G34">
        <v>12</v>
      </c>
      <c r="H34">
        <v>33</v>
      </c>
      <c r="I34">
        <v>0</v>
      </c>
      <c r="J34">
        <v>13</v>
      </c>
      <c r="K34">
        <f t="shared" ref="K34:K65" si="2">(MAX(D:D)-D34)/(MAX(D:D)-MIN(D:D))</f>
        <v>0.59840425531914898</v>
      </c>
      <c r="L34">
        <f t="shared" ref="L34:L65" si="3">(EXP(10*K34)-1)/(EXP(10)-1)</f>
        <v>1.7981104059987481E-2</v>
      </c>
    </row>
    <row r="35" spans="1:12" x14ac:dyDescent="0.3">
      <c r="A35">
        <v>54</v>
      </c>
      <c r="B35" t="s">
        <v>47</v>
      </c>
      <c r="C35" t="s">
        <v>44</v>
      </c>
      <c r="D35">
        <v>45.5</v>
      </c>
      <c r="E35">
        <v>31143</v>
      </c>
      <c r="F35">
        <v>64</v>
      </c>
      <c r="G35">
        <v>9</v>
      </c>
      <c r="H35">
        <v>41</v>
      </c>
      <c r="I35">
        <v>0</v>
      </c>
      <c r="J35">
        <v>13</v>
      </c>
      <c r="K35">
        <f t="shared" si="2"/>
        <v>0.53989361702127658</v>
      </c>
      <c r="L35">
        <f t="shared" si="3"/>
        <v>9.996201885437787E-3</v>
      </c>
    </row>
    <row r="36" spans="1:12" x14ac:dyDescent="0.3">
      <c r="A36">
        <v>80</v>
      </c>
      <c r="B36" t="s">
        <v>48</v>
      </c>
      <c r="C36" t="s">
        <v>44</v>
      </c>
      <c r="D36">
        <v>67</v>
      </c>
      <c r="E36">
        <v>11466</v>
      </c>
      <c r="F36">
        <v>106</v>
      </c>
      <c r="G36">
        <v>8</v>
      </c>
      <c r="H36">
        <v>43</v>
      </c>
      <c r="I36">
        <v>0</v>
      </c>
      <c r="J36">
        <v>13</v>
      </c>
      <c r="K36">
        <f t="shared" si="2"/>
        <v>0.31117021276595747</v>
      </c>
      <c r="L36">
        <f t="shared" si="3"/>
        <v>9.7429223874259435E-4</v>
      </c>
    </row>
    <row r="37" spans="1:12" x14ac:dyDescent="0.3">
      <c r="A37">
        <v>96</v>
      </c>
      <c r="B37" t="s">
        <v>49</v>
      </c>
      <c r="C37" t="s">
        <v>44</v>
      </c>
      <c r="D37">
        <v>75.75</v>
      </c>
      <c r="E37">
        <v>12963</v>
      </c>
      <c r="F37">
        <v>101</v>
      </c>
      <c r="G37">
        <v>2</v>
      </c>
      <c r="H37">
        <v>88</v>
      </c>
      <c r="I37">
        <v>0</v>
      </c>
      <c r="J37">
        <v>13</v>
      </c>
      <c r="K37">
        <f t="shared" si="2"/>
        <v>0.21808510638297873</v>
      </c>
      <c r="L37">
        <f t="shared" si="3"/>
        <v>3.5657989292095862E-4</v>
      </c>
    </row>
    <row r="38" spans="1:12" x14ac:dyDescent="0.3">
      <c r="A38">
        <v>6</v>
      </c>
      <c r="B38" t="s">
        <v>50</v>
      </c>
      <c r="C38" t="s">
        <v>51</v>
      </c>
      <c r="D38">
        <v>6</v>
      </c>
      <c r="E38">
        <v>2316014</v>
      </c>
      <c r="F38">
        <v>6</v>
      </c>
      <c r="G38">
        <v>66</v>
      </c>
      <c r="H38">
        <v>6</v>
      </c>
      <c r="I38">
        <v>31</v>
      </c>
      <c r="J38">
        <v>6</v>
      </c>
      <c r="K38">
        <f t="shared" si="2"/>
        <v>0.96010638297872342</v>
      </c>
      <c r="L38">
        <f t="shared" si="3"/>
        <v>0.67101859618144122</v>
      </c>
    </row>
    <row r="39" spans="1:12" x14ac:dyDescent="0.3">
      <c r="A39">
        <v>30</v>
      </c>
      <c r="B39" t="s">
        <v>52</v>
      </c>
      <c r="C39" t="s">
        <v>51</v>
      </c>
      <c r="D39">
        <v>27</v>
      </c>
      <c r="E39">
        <v>110598</v>
      </c>
      <c r="F39">
        <v>35</v>
      </c>
      <c r="G39">
        <v>18</v>
      </c>
      <c r="H39">
        <v>25</v>
      </c>
      <c r="I39">
        <v>0</v>
      </c>
      <c r="J39">
        <v>13</v>
      </c>
      <c r="K39">
        <f t="shared" si="2"/>
        <v>0.73670212765957444</v>
      </c>
      <c r="L39">
        <f t="shared" si="3"/>
        <v>7.1821940669029458E-2</v>
      </c>
    </row>
    <row r="40" spans="1:12" x14ac:dyDescent="0.3">
      <c r="A40">
        <v>32</v>
      </c>
      <c r="B40" t="s">
        <v>53</v>
      </c>
      <c r="C40" t="s">
        <v>51</v>
      </c>
      <c r="D40">
        <v>29.25</v>
      </c>
      <c r="E40">
        <v>74556</v>
      </c>
      <c r="F40">
        <v>38</v>
      </c>
      <c r="G40">
        <v>17</v>
      </c>
      <c r="H40">
        <v>28</v>
      </c>
      <c r="I40">
        <v>0</v>
      </c>
      <c r="J40">
        <v>13</v>
      </c>
      <c r="K40">
        <f t="shared" si="2"/>
        <v>0.71276595744680848</v>
      </c>
      <c r="L40">
        <f t="shared" si="3"/>
        <v>5.6523548365519607E-2</v>
      </c>
    </row>
    <row r="41" spans="1:12" x14ac:dyDescent="0.3">
      <c r="A41">
        <v>38</v>
      </c>
      <c r="B41" t="s">
        <v>54</v>
      </c>
      <c r="C41" t="s">
        <v>51</v>
      </c>
      <c r="D41">
        <v>35.75</v>
      </c>
      <c r="E41">
        <v>55334</v>
      </c>
      <c r="F41">
        <v>51</v>
      </c>
      <c r="G41">
        <v>17</v>
      </c>
      <c r="H41">
        <v>28</v>
      </c>
      <c r="I41">
        <v>0</v>
      </c>
      <c r="J41">
        <v>13</v>
      </c>
      <c r="K41">
        <f t="shared" si="2"/>
        <v>0.6436170212765957</v>
      </c>
      <c r="L41">
        <f t="shared" si="3"/>
        <v>2.8286002613084244E-2</v>
      </c>
    </row>
    <row r="42" spans="1:12" x14ac:dyDescent="0.3">
      <c r="A42">
        <v>88</v>
      </c>
      <c r="B42" t="s">
        <v>55</v>
      </c>
      <c r="C42" t="s">
        <v>51</v>
      </c>
      <c r="D42">
        <v>72.75</v>
      </c>
      <c r="E42">
        <v>14566</v>
      </c>
      <c r="F42">
        <v>95</v>
      </c>
      <c r="G42">
        <v>2</v>
      </c>
      <c r="H42">
        <v>88</v>
      </c>
      <c r="I42">
        <v>0</v>
      </c>
      <c r="J42">
        <v>13</v>
      </c>
      <c r="K42">
        <f t="shared" si="2"/>
        <v>0.25</v>
      </c>
      <c r="L42">
        <f t="shared" si="3"/>
        <v>5.0770749026974682E-4</v>
      </c>
    </row>
    <row r="43" spans="1:12" x14ac:dyDescent="0.3">
      <c r="A43">
        <v>94</v>
      </c>
      <c r="B43" t="s">
        <v>56</v>
      </c>
      <c r="C43" t="s">
        <v>51</v>
      </c>
      <c r="D43">
        <v>75.25</v>
      </c>
      <c r="E43">
        <v>13023</v>
      </c>
      <c r="F43">
        <v>100</v>
      </c>
      <c r="G43">
        <v>2</v>
      </c>
      <c r="H43">
        <v>88</v>
      </c>
      <c r="I43">
        <v>0</v>
      </c>
      <c r="J43">
        <v>13</v>
      </c>
      <c r="K43">
        <f t="shared" si="2"/>
        <v>0.22340425531914893</v>
      </c>
      <c r="L43">
        <f t="shared" si="3"/>
        <v>3.7854079696947383E-4</v>
      </c>
    </row>
    <row r="44" spans="1:12" x14ac:dyDescent="0.3">
      <c r="A44">
        <v>98</v>
      </c>
      <c r="B44" t="s">
        <v>57</v>
      </c>
      <c r="C44" t="s">
        <v>51</v>
      </c>
      <c r="D44">
        <v>77</v>
      </c>
      <c r="E44">
        <v>16530</v>
      </c>
      <c r="F44">
        <v>86</v>
      </c>
      <c r="G44">
        <v>1</v>
      </c>
      <c r="H44">
        <v>123</v>
      </c>
      <c r="I44">
        <v>0</v>
      </c>
      <c r="J44">
        <v>13</v>
      </c>
      <c r="K44">
        <f t="shared" si="2"/>
        <v>0.2047872340425532</v>
      </c>
      <c r="L44">
        <f t="shared" si="3"/>
        <v>3.0652660379449823E-4</v>
      </c>
    </row>
    <row r="45" spans="1:12" x14ac:dyDescent="0.3">
      <c r="A45">
        <v>102</v>
      </c>
      <c r="B45" t="s">
        <v>58</v>
      </c>
      <c r="C45" t="s">
        <v>51</v>
      </c>
      <c r="D45">
        <v>79.25</v>
      </c>
      <c r="E45">
        <v>11085</v>
      </c>
      <c r="F45">
        <v>108</v>
      </c>
      <c r="G45">
        <v>2</v>
      </c>
      <c r="H45">
        <v>88</v>
      </c>
      <c r="I45">
        <v>0</v>
      </c>
      <c r="J45">
        <v>13</v>
      </c>
      <c r="K45">
        <f t="shared" si="2"/>
        <v>0.18085106382978725</v>
      </c>
      <c r="L45">
        <f t="shared" si="3"/>
        <v>2.3161160754083741E-4</v>
      </c>
    </row>
    <row r="46" spans="1:12" x14ac:dyDescent="0.3">
      <c r="A46">
        <v>2</v>
      </c>
      <c r="B46" t="s">
        <v>59</v>
      </c>
      <c r="C46" t="s">
        <v>60</v>
      </c>
      <c r="D46">
        <v>2.75</v>
      </c>
      <c r="E46">
        <v>2681392</v>
      </c>
      <c r="F46">
        <v>4</v>
      </c>
      <c r="G46">
        <v>159</v>
      </c>
      <c r="H46">
        <v>1</v>
      </c>
      <c r="I46">
        <v>97</v>
      </c>
      <c r="J46">
        <v>2</v>
      </c>
      <c r="K46">
        <f t="shared" si="2"/>
        <v>0.99468085106382975</v>
      </c>
      <c r="L46">
        <f t="shared" si="3"/>
        <v>0.94819607329099442</v>
      </c>
    </row>
    <row r="47" spans="1:12" x14ac:dyDescent="0.3">
      <c r="A47">
        <v>22</v>
      </c>
      <c r="B47" t="s">
        <v>61</v>
      </c>
      <c r="C47" t="s">
        <v>60</v>
      </c>
      <c r="D47">
        <v>21.25</v>
      </c>
      <c r="E47">
        <v>252532</v>
      </c>
      <c r="F47">
        <v>23</v>
      </c>
      <c r="G47">
        <v>16</v>
      </c>
      <c r="H47">
        <v>30</v>
      </c>
      <c r="I47">
        <v>2</v>
      </c>
      <c r="J47">
        <v>9</v>
      </c>
      <c r="K47">
        <f t="shared" si="2"/>
        <v>0.7978723404255319</v>
      </c>
      <c r="L47">
        <f t="shared" si="3"/>
        <v>0.13244683887341516</v>
      </c>
    </row>
    <row r="48" spans="1:12" x14ac:dyDescent="0.3">
      <c r="A48">
        <v>49</v>
      </c>
      <c r="B48" t="s">
        <v>62</v>
      </c>
      <c r="C48" t="s">
        <v>60</v>
      </c>
      <c r="D48">
        <v>44</v>
      </c>
      <c r="E48">
        <v>56959</v>
      </c>
      <c r="F48">
        <v>48</v>
      </c>
      <c r="G48">
        <v>4</v>
      </c>
      <c r="H48">
        <v>67</v>
      </c>
      <c r="I48">
        <v>0</v>
      </c>
      <c r="J48">
        <v>13</v>
      </c>
      <c r="K48">
        <f t="shared" si="2"/>
        <v>0.55585106382978722</v>
      </c>
      <c r="L48">
        <f t="shared" si="3"/>
        <v>1.1733515948089666E-2</v>
      </c>
    </row>
    <row r="49" spans="1:12" x14ac:dyDescent="0.3">
      <c r="A49">
        <v>61</v>
      </c>
      <c r="B49" t="s">
        <v>63</v>
      </c>
      <c r="C49" t="s">
        <v>60</v>
      </c>
      <c r="D49">
        <v>51.5</v>
      </c>
      <c r="E49">
        <v>29977</v>
      </c>
      <c r="F49">
        <v>66</v>
      </c>
      <c r="G49">
        <v>5</v>
      </c>
      <c r="H49">
        <v>61</v>
      </c>
      <c r="I49">
        <v>0</v>
      </c>
      <c r="J49">
        <v>13</v>
      </c>
      <c r="K49">
        <f t="shared" si="2"/>
        <v>0.47606382978723405</v>
      </c>
      <c r="L49">
        <f t="shared" si="3"/>
        <v>5.2584798633417106E-3</v>
      </c>
    </row>
    <row r="50" spans="1:12" x14ac:dyDescent="0.3">
      <c r="A50">
        <v>63</v>
      </c>
      <c r="B50" t="s">
        <v>64</v>
      </c>
      <c r="C50" t="s">
        <v>60</v>
      </c>
      <c r="D50">
        <v>52.75</v>
      </c>
      <c r="E50">
        <v>33872</v>
      </c>
      <c r="F50">
        <v>61</v>
      </c>
      <c r="G50">
        <v>3</v>
      </c>
      <c r="H50">
        <v>76</v>
      </c>
      <c r="I50">
        <v>0</v>
      </c>
      <c r="J50">
        <v>13</v>
      </c>
      <c r="K50">
        <f t="shared" si="2"/>
        <v>0.46276595744680848</v>
      </c>
      <c r="L50">
        <f t="shared" si="3"/>
        <v>4.5980602211614192E-3</v>
      </c>
    </row>
    <row r="51" spans="1:12" x14ac:dyDescent="0.3">
      <c r="A51">
        <v>67</v>
      </c>
      <c r="B51" t="s">
        <v>65</v>
      </c>
      <c r="C51" t="s">
        <v>60</v>
      </c>
      <c r="D51">
        <v>55.75</v>
      </c>
      <c r="E51">
        <v>29707</v>
      </c>
      <c r="F51">
        <v>67</v>
      </c>
      <c r="G51">
        <v>3</v>
      </c>
      <c r="H51">
        <v>76</v>
      </c>
      <c r="I51">
        <v>0</v>
      </c>
      <c r="J51">
        <v>13</v>
      </c>
      <c r="K51">
        <f t="shared" si="2"/>
        <v>0.43085106382978722</v>
      </c>
      <c r="L51">
        <f t="shared" si="3"/>
        <v>3.3293145003648211E-3</v>
      </c>
    </row>
    <row r="52" spans="1:12" x14ac:dyDescent="0.3">
      <c r="A52">
        <v>108</v>
      </c>
      <c r="B52" t="s">
        <v>66</v>
      </c>
      <c r="C52" t="s">
        <v>60</v>
      </c>
      <c r="D52">
        <v>84.25</v>
      </c>
      <c r="E52">
        <v>6660</v>
      </c>
      <c r="F52">
        <v>124</v>
      </c>
      <c r="G52">
        <v>3</v>
      </c>
      <c r="H52">
        <v>76</v>
      </c>
      <c r="I52">
        <v>0</v>
      </c>
      <c r="J52">
        <v>13</v>
      </c>
      <c r="K52">
        <f t="shared" si="2"/>
        <v>0.1276595744680851</v>
      </c>
      <c r="L52">
        <f t="shared" si="3"/>
        <v>1.1733766208384279E-4</v>
      </c>
    </row>
    <row r="53" spans="1:12" x14ac:dyDescent="0.3">
      <c r="A53">
        <v>111</v>
      </c>
      <c r="B53" t="s">
        <v>67</v>
      </c>
      <c r="C53" t="s">
        <v>60</v>
      </c>
      <c r="D53">
        <v>88.5</v>
      </c>
      <c r="E53">
        <v>10825</v>
      </c>
      <c r="F53">
        <v>109</v>
      </c>
      <c r="G53">
        <v>1</v>
      </c>
      <c r="H53">
        <v>123</v>
      </c>
      <c r="I53">
        <v>0</v>
      </c>
      <c r="J53">
        <v>13</v>
      </c>
      <c r="K53">
        <f t="shared" si="2"/>
        <v>8.2446808510638292E-2</v>
      </c>
      <c r="L53">
        <f t="shared" si="3"/>
        <v>5.8144846227029833E-5</v>
      </c>
    </row>
    <row r="54" spans="1:12" x14ac:dyDescent="0.3">
      <c r="A54">
        <v>12</v>
      </c>
      <c r="B54" t="s">
        <v>68</v>
      </c>
      <c r="C54" t="s">
        <v>69</v>
      </c>
      <c r="D54">
        <v>12.5</v>
      </c>
      <c r="E54">
        <v>482007</v>
      </c>
      <c r="F54">
        <v>11</v>
      </c>
      <c r="G54">
        <v>29</v>
      </c>
      <c r="H54">
        <v>15</v>
      </c>
      <c r="I54">
        <v>0</v>
      </c>
      <c r="J54">
        <v>13</v>
      </c>
      <c r="K54">
        <f t="shared" si="2"/>
        <v>0.89095744680851063</v>
      </c>
      <c r="L54">
        <f t="shared" si="3"/>
        <v>0.33604330970753138</v>
      </c>
    </row>
    <row r="55" spans="1:12" x14ac:dyDescent="0.3">
      <c r="A55">
        <v>35</v>
      </c>
      <c r="B55" t="s">
        <v>70</v>
      </c>
      <c r="C55" t="s">
        <v>69</v>
      </c>
      <c r="D55">
        <v>31.5</v>
      </c>
      <c r="E55">
        <v>61206</v>
      </c>
      <c r="F55">
        <v>44</v>
      </c>
      <c r="G55">
        <v>18</v>
      </c>
      <c r="H55">
        <v>25</v>
      </c>
      <c r="I55">
        <v>0</v>
      </c>
      <c r="J55">
        <v>13</v>
      </c>
      <c r="K55">
        <f t="shared" si="2"/>
        <v>0.68882978723404253</v>
      </c>
      <c r="L55">
        <f t="shared" si="3"/>
        <v>4.4481722931042265E-2</v>
      </c>
    </row>
    <row r="56" spans="1:12" x14ac:dyDescent="0.3">
      <c r="A56">
        <v>45</v>
      </c>
      <c r="B56" t="s">
        <v>71</v>
      </c>
      <c r="C56" t="s">
        <v>69</v>
      </c>
      <c r="D56">
        <v>41.5</v>
      </c>
      <c r="E56">
        <v>42753</v>
      </c>
      <c r="F56">
        <v>58</v>
      </c>
      <c r="G56">
        <v>11</v>
      </c>
      <c r="H56">
        <v>37</v>
      </c>
      <c r="I56">
        <v>0</v>
      </c>
      <c r="J56">
        <v>13</v>
      </c>
      <c r="K56">
        <f t="shared" si="2"/>
        <v>0.58244680851063835</v>
      </c>
      <c r="L56">
        <f t="shared" si="3"/>
        <v>1.5322311238371893E-2</v>
      </c>
    </row>
    <row r="57" spans="1:12" x14ac:dyDescent="0.3">
      <c r="A57">
        <v>70</v>
      </c>
      <c r="B57" t="s">
        <v>72</v>
      </c>
      <c r="C57" t="s">
        <v>69</v>
      </c>
      <c r="D57">
        <v>56.5</v>
      </c>
      <c r="E57">
        <v>16937</v>
      </c>
      <c r="F57">
        <v>85</v>
      </c>
      <c r="G57">
        <v>8</v>
      </c>
      <c r="H57">
        <v>43</v>
      </c>
      <c r="I57">
        <v>0</v>
      </c>
      <c r="J57">
        <v>13</v>
      </c>
      <c r="K57">
        <f t="shared" si="2"/>
        <v>0.4228723404255319</v>
      </c>
      <c r="L57">
        <f t="shared" si="3"/>
        <v>3.070516857533E-3</v>
      </c>
    </row>
    <row r="58" spans="1:12" x14ac:dyDescent="0.3">
      <c r="A58">
        <v>71</v>
      </c>
      <c r="B58" t="s">
        <v>73</v>
      </c>
      <c r="C58" t="s">
        <v>69</v>
      </c>
      <c r="D58">
        <v>56.5</v>
      </c>
      <c r="E58">
        <v>15620</v>
      </c>
      <c r="F58">
        <v>91</v>
      </c>
      <c r="G58">
        <v>13</v>
      </c>
      <c r="H58">
        <v>31</v>
      </c>
      <c r="I58">
        <v>0</v>
      </c>
      <c r="J58">
        <v>13</v>
      </c>
      <c r="K58">
        <f t="shared" si="2"/>
        <v>0.4228723404255319</v>
      </c>
      <c r="L58">
        <f t="shared" si="3"/>
        <v>3.070516857533E-3</v>
      </c>
    </row>
    <row r="59" spans="1:12" x14ac:dyDescent="0.3">
      <c r="A59">
        <v>82</v>
      </c>
      <c r="B59" t="s">
        <v>74</v>
      </c>
      <c r="C59" t="s">
        <v>69</v>
      </c>
      <c r="D59">
        <v>70</v>
      </c>
      <c r="E59">
        <v>8659</v>
      </c>
      <c r="F59">
        <v>115</v>
      </c>
      <c r="G59">
        <v>11</v>
      </c>
      <c r="H59">
        <v>37</v>
      </c>
      <c r="I59">
        <v>0</v>
      </c>
      <c r="J59">
        <v>13</v>
      </c>
      <c r="K59">
        <f t="shared" si="2"/>
        <v>0.27925531914893614</v>
      </c>
      <c r="L59">
        <f t="shared" si="3"/>
        <v>6.9567843046648649E-4</v>
      </c>
    </row>
    <row r="60" spans="1:12" x14ac:dyDescent="0.3">
      <c r="A60">
        <v>95</v>
      </c>
      <c r="B60" t="s">
        <v>75</v>
      </c>
      <c r="C60" t="s">
        <v>69</v>
      </c>
      <c r="D60">
        <v>75.75</v>
      </c>
      <c r="E60">
        <v>55512</v>
      </c>
      <c r="F60">
        <v>50</v>
      </c>
      <c r="G60">
        <v>0</v>
      </c>
      <c r="H60">
        <v>190</v>
      </c>
      <c r="I60">
        <v>0</v>
      </c>
      <c r="J60">
        <v>13</v>
      </c>
      <c r="K60">
        <f t="shared" si="2"/>
        <v>0.21808510638297873</v>
      </c>
      <c r="L60">
        <f t="shared" si="3"/>
        <v>3.5657989292095862E-4</v>
      </c>
    </row>
    <row r="61" spans="1:12" x14ac:dyDescent="0.3">
      <c r="A61">
        <v>100</v>
      </c>
      <c r="B61" t="s">
        <v>76</v>
      </c>
      <c r="C61" t="s">
        <v>69</v>
      </c>
      <c r="D61">
        <v>77.5</v>
      </c>
      <c r="E61">
        <v>6419</v>
      </c>
      <c r="F61">
        <v>127</v>
      </c>
      <c r="G61">
        <v>8</v>
      </c>
      <c r="H61">
        <v>43</v>
      </c>
      <c r="I61">
        <v>0</v>
      </c>
      <c r="J61">
        <v>13</v>
      </c>
      <c r="K61">
        <f t="shared" si="2"/>
        <v>0.19946808510638298</v>
      </c>
      <c r="L61">
        <f t="shared" si="3"/>
        <v>2.882961483614329E-4</v>
      </c>
    </row>
    <row r="62" spans="1:12" x14ac:dyDescent="0.3">
      <c r="A62">
        <v>116</v>
      </c>
      <c r="B62" t="s">
        <v>77</v>
      </c>
      <c r="C62" t="s">
        <v>69</v>
      </c>
      <c r="D62">
        <v>92.25</v>
      </c>
      <c r="E62">
        <v>17204</v>
      </c>
      <c r="F62">
        <v>83</v>
      </c>
      <c r="G62">
        <v>0</v>
      </c>
      <c r="H62">
        <v>190</v>
      </c>
      <c r="I62">
        <v>0</v>
      </c>
      <c r="J62">
        <v>13</v>
      </c>
      <c r="K62">
        <f t="shared" si="2"/>
        <v>4.2553191489361701E-2</v>
      </c>
      <c r="L62">
        <f t="shared" si="3"/>
        <v>2.4081408899797928E-5</v>
      </c>
    </row>
    <row r="63" spans="1:12" x14ac:dyDescent="0.3">
      <c r="A63">
        <v>14</v>
      </c>
      <c r="B63" t="s">
        <v>78</v>
      </c>
      <c r="C63" t="s">
        <v>79</v>
      </c>
      <c r="D63">
        <v>14</v>
      </c>
      <c r="E63">
        <v>350922</v>
      </c>
      <c r="F63">
        <v>16</v>
      </c>
      <c r="G63">
        <v>30</v>
      </c>
      <c r="H63">
        <v>14</v>
      </c>
      <c r="I63">
        <v>1</v>
      </c>
      <c r="J63">
        <v>10</v>
      </c>
      <c r="K63">
        <f t="shared" si="2"/>
        <v>0.875</v>
      </c>
      <c r="L63">
        <f t="shared" si="3"/>
        <v>0.28647240275739166</v>
      </c>
    </row>
    <row r="64" spans="1:12" x14ac:dyDescent="0.3">
      <c r="A64">
        <v>21</v>
      </c>
      <c r="B64" t="s">
        <v>80</v>
      </c>
      <c r="C64" t="s">
        <v>79</v>
      </c>
      <c r="D64">
        <v>20</v>
      </c>
      <c r="E64">
        <v>187461</v>
      </c>
      <c r="F64">
        <v>28</v>
      </c>
      <c r="G64">
        <v>36</v>
      </c>
      <c r="H64">
        <v>11</v>
      </c>
      <c r="I64">
        <v>0</v>
      </c>
      <c r="J64">
        <v>13</v>
      </c>
      <c r="K64">
        <f t="shared" si="2"/>
        <v>0.81117021276595747</v>
      </c>
      <c r="L64">
        <f t="shared" si="3"/>
        <v>0.15129063996519507</v>
      </c>
    </row>
    <row r="65" spans="1:12" x14ac:dyDescent="0.3">
      <c r="A65">
        <v>29</v>
      </c>
      <c r="B65" t="s">
        <v>81</v>
      </c>
      <c r="C65" t="s">
        <v>79</v>
      </c>
      <c r="D65">
        <v>26.5</v>
      </c>
      <c r="E65">
        <v>162867</v>
      </c>
      <c r="F65">
        <v>30</v>
      </c>
      <c r="G65">
        <v>12</v>
      </c>
      <c r="H65">
        <v>33</v>
      </c>
      <c r="I65">
        <v>0</v>
      </c>
      <c r="J65">
        <v>13</v>
      </c>
      <c r="K65">
        <f t="shared" si="2"/>
        <v>0.74202127659574468</v>
      </c>
      <c r="L65">
        <f t="shared" si="3"/>
        <v>7.5748166898297026E-2</v>
      </c>
    </row>
    <row r="66" spans="1:12" x14ac:dyDescent="0.3">
      <c r="A66">
        <v>40</v>
      </c>
      <c r="B66" t="s">
        <v>82</v>
      </c>
      <c r="C66" t="s">
        <v>79</v>
      </c>
      <c r="D66">
        <v>39.25</v>
      </c>
      <c r="E66">
        <v>118080</v>
      </c>
      <c r="F66">
        <v>34</v>
      </c>
      <c r="G66">
        <v>3</v>
      </c>
      <c r="H66">
        <v>76</v>
      </c>
      <c r="I66">
        <v>0</v>
      </c>
      <c r="J66">
        <v>13</v>
      </c>
      <c r="K66">
        <f t="shared" ref="K66:K97" si="4">(MAX(D:D)-D66)/(MAX(D:D)-MIN(D:D))</f>
        <v>0.6063829787234043</v>
      </c>
      <c r="L66">
        <f t="shared" ref="L66:L97" si="5">(EXP(10*K66)-1)/(EXP(10)-1)</f>
        <v>1.9478324463103432E-2</v>
      </c>
    </row>
    <row r="67" spans="1:12" x14ac:dyDescent="0.3">
      <c r="A67">
        <v>55</v>
      </c>
      <c r="B67" t="s">
        <v>83</v>
      </c>
      <c r="C67" t="s">
        <v>79</v>
      </c>
      <c r="D67">
        <v>46.5</v>
      </c>
      <c r="E67">
        <v>30534</v>
      </c>
      <c r="F67">
        <v>65</v>
      </c>
      <c r="G67">
        <v>8</v>
      </c>
      <c r="H67">
        <v>43</v>
      </c>
      <c r="I67">
        <v>0</v>
      </c>
      <c r="J67">
        <v>13</v>
      </c>
      <c r="K67">
        <f t="shared" si="4"/>
        <v>0.5292553191489362</v>
      </c>
      <c r="L67">
        <f t="shared" si="5"/>
        <v>8.9828057680193946E-3</v>
      </c>
    </row>
    <row r="68" spans="1:12" x14ac:dyDescent="0.3">
      <c r="A68">
        <v>69</v>
      </c>
      <c r="B68" t="s">
        <v>84</v>
      </c>
      <c r="C68" t="s">
        <v>79</v>
      </c>
      <c r="D68">
        <v>56.25</v>
      </c>
      <c r="E68">
        <v>18389</v>
      </c>
      <c r="F68">
        <v>81</v>
      </c>
      <c r="G68">
        <v>7</v>
      </c>
      <c r="H68">
        <v>50</v>
      </c>
      <c r="I68">
        <v>0</v>
      </c>
      <c r="J68">
        <v>13</v>
      </c>
      <c r="K68">
        <f t="shared" si="4"/>
        <v>0.42553191489361702</v>
      </c>
      <c r="L68">
        <f t="shared" si="5"/>
        <v>3.1544988715595944E-3</v>
      </c>
    </row>
    <row r="69" spans="1:12" x14ac:dyDescent="0.3">
      <c r="A69">
        <v>79</v>
      </c>
      <c r="B69" t="s">
        <v>85</v>
      </c>
      <c r="C69" t="s">
        <v>79</v>
      </c>
      <c r="D69">
        <v>65</v>
      </c>
      <c r="E69">
        <v>13621</v>
      </c>
      <c r="F69">
        <v>97</v>
      </c>
      <c r="G69">
        <v>6</v>
      </c>
      <c r="H69">
        <v>53</v>
      </c>
      <c r="I69">
        <v>0</v>
      </c>
      <c r="J69">
        <v>13</v>
      </c>
      <c r="K69">
        <f t="shared" si="4"/>
        <v>0.33244680851063829</v>
      </c>
      <c r="L69">
        <f t="shared" si="5"/>
        <v>1.2160567282765698E-3</v>
      </c>
    </row>
    <row r="70" spans="1:12" x14ac:dyDescent="0.3">
      <c r="A70">
        <v>93</v>
      </c>
      <c r="B70" t="s">
        <v>86</v>
      </c>
      <c r="C70" t="s">
        <v>79</v>
      </c>
      <c r="D70">
        <v>75</v>
      </c>
      <c r="E70">
        <v>9361</v>
      </c>
      <c r="F70">
        <v>113</v>
      </c>
      <c r="G70">
        <v>5</v>
      </c>
      <c r="H70">
        <v>61</v>
      </c>
      <c r="I70">
        <v>0</v>
      </c>
      <c r="J70">
        <v>13</v>
      </c>
      <c r="K70">
        <f t="shared" si="4"/>
        <v>0.22606382978723405</v>
      </c>
      <c r="L70">
        <f t="shared" si="5"/>
        <v>3.899671437060686E-4</v>
      </c>
    </row>
    <row r="71" spans="1:12" x14ac:dyDescent="0.3">
      <c r="A71">
        <v>118</v>
      </c>
      <c r="B71" t="s">
        <v>87</v>
      </c>
      <c r="C71" t="s">
        <v>79</v>
      </c>
      <c r="D71">
        <v>94.5</v>
      </c>
      <c r="E71">
        <v>7446</v>
      </c>
      <c r="F71">
        <v>121</v>
      </c>
      <c r="G71">
        <v>1</v>
      </c>
      <c r="H71">
        <v>123</v>
      </c>
      <c r="I71">
        <v>0</v>
      </c>
      <c r="J71">
        <v>13</v>
      </c>
      <c r="K71">
        <f t="shared" si="4"/>
        <v>1.8617021276595744E-2</v>
      </c>
      <c r="L71">
        <f t="shared" si="5"/>
        <v>9.2904861934261775E-6</v>
      </c>
    </row>
    <row r="72" spans="1:12" x14ac:dyDescent="0.3">
      <c r="A72">
        <v>1</v>
      </c>
      <c r="B72" t="s">
        <v>88</v>
      </c>
      <c r="C72" t="s">
        <v>89</v>
      </c>
      <c r="D72">
        <v>2.25</v>
      </c>
      <c r="E72">
        <v>3218398</v>
      </c>
      <c r="F72">
        <v>1</v>
      </c>
      <c r="G72">
        <v>147</v>
      </c>
      <c r="H72">
        <v>2</v>
      </c>
      <c r="I72">
        <v>83</v>
      </c>
      <c r="J72">
        <v>5</v>
      </c>
      <c r="K72">
        <f t="shared" si="4"/>
        <v>1</v>
      </c>
      <c r="L72">
        <f t="shared" si="5"/>
        <v>1</v>
      </c>
    </row>
    <row r="73" spans="1:12" x14ac:dyDescent="0.3">
      <c r="A73">
        <v>52</v>
      </c>
      <c r="B73" t="s">
        <v>90</v>
      </c>
      <c r="C73" t="s">
        <v>89</v>
      </c>
      <c r="D73">
        <v>44.75</v>
      </c>
      <c r="E73">
        <v>60906</v>
      </c>
      <c r="F73">
        <v>45</v>
      </c>
      <c r="G73">
        <v>3</v>
      </c>
      <c r="H73">
        <v>76</v>
      </c>
      <c r="I73">
        <v>0</v>
      </c>
      <c r="J73">
        <v>13</v>
      </c>
      <c r="K73">
        <f t="shared" si="4"/>
        <v>0.5478723404255319</v>
      </c>
      <c r="L73">
        <f t="shared" si="5"/>
        <v>1.0830223418023893E-2</v>
      </c>
    </row>
    <row r="74" spans="1:12" x14ac:dyDescent="0.3">
      <c r="A74">
        <v>58</v>
      </c>
      <c r="B74" t="s">
        <v>91</v>
      </c>
      <c r="C74" t="s">
        <v>89</v>
      </c>
      <c r="D74">
        <v>50</v>
      </c>
      <c r="E74">
        <v>35743</v>
      </c>
      <c r="F74">
        <v>60</v>
      </c>
      <c r="G74">
        <v>4</v>
      </c>
      <c r="H74">
        <v>67</v>
      </c>
      <c r="I74">
        <v>0</v>
      </c>
      <c r="J74">
        <v>13</v>
      </c>
      <c r="K74">
        <f t="shared" si="4"/>
        <v>0.49202127659574468</v>
      </c>
      <c r="L74">
        <f t="shared" si="5"/>
        <v>6.1761130069694324E-3</v>
      </c>
    </row>
    <row r="75" spans="1:12" x14ac:dyDescent="0.3">
      <c r="A75">
        <v>68</v>
      </c>
      <c r="B75" t="s">
        <v>92</v>
      </c>
      <c r="C75" t="s">
        <v>89</v>
      </c>
      <c r="D75">
        <v>56</v>
      </c>
      <c r="E75">
        <v>18483</v>
      </c>
      <c r="F75">
        <v>79</v>
      </c>
      <c r="G75">
        <v>6</v>
      </c>
      <c r="H75">
        <v>53</v>
      </c>
      <c r="I75">
        <v>0</v>
      </c>
      <c r="J75">
        <v>13</v>
      </c>
      <c r="K75">
        <f t="shared" si="4"/>
        <v>0.42819148936170215</v>
      </c>
      <c r="L75">
        <f t="shared" si="5"/>
        <v>3.2407444165132764E-3</v>
      </c>
    </row>
    <row r="76" spans="1:12" x14ac:dyDescent="0.3">
      <c r="A76">
        <v>75</v>
      </c>
      <c r="B76" t="s">
        <v>93</v>
      </c>
      <c r="C76" t="s">
        <v>89</v>
      </c>
      <c r="D76">
        <v>62</v>
      </c>
      <c r="E76">
        <v>46454</v>
      </c>
      <c r="F76">
        <v>56</v>
      </c>
      <c r="G76">
        <v>1</v>
      </c>
      <c r="H76">
        <v>123</v>
      </c>
      <c r="I76">
        <v>0</v>
      </c>
      <c r="J76">
        <v>13</v>
      </c>
      <c r="K76">
        <f t="shared" si="4"/>
        <v>0.36436170212765956</v>
      </c>
      <c r="L76">
        <f t="shared" si="5"/>
        <v>1.6903100044100353E-3</v>
      </c>
    </row>
    <row r="77" spans="1:12" x14ac:dyDescent="0.3">
      <c r="A77">
        <v>76</v>
      </c>
      <c r="B77" t="s">
        <v>94</v>
      </c>
      <c r="C77" t="s">
        <v>89</v>
      </c>
      <c r="D77">
        <v>64</v>
      </c>
      <c r="E77">
        <v>16293</v>
      </c>
      <c r="F77">
        <v>88</v>
      </c>
      <c r="G77">
        <v>4</v>
      </c>
      <c r="H77">
        <v>67</v>
      </c>
      <c r="I77">
        <v>0</v>
      </c>
      <c r="J77">
        <v>13</v>
      </c>
      <c r="K77">
        <f t="shared" si="4"/>
        <v>0.34308510638297873</v>
      </c>
      <c r="L77">
        <f t="shared" si="5"/>
        <v>1.357652646594887E-3</v>
      </c>
    </row>
    <row r="78" spans="1:12" x14ac:dyDescent="0.3">
      <c r="A78">
        <v>83</v>
      </c>
      <c r="B78" t="s">
        <v>95</v>
      </c>
      <c r="C78" t="s">
        <v>89</v>
      </c>
      <c r="D78">
        <v>70.5</v>
      </c>
      <c r="E78">
        <v>24904</v>
      </c>
      <c r="F78">
        <v>73</v>
      </c>
      <c r="G78">
        <v>1</v>
      </c>
      <c r="H78">
        <v>123</v>
      </c>
      <c r="I78">
        <v>0</v>
      </c>
      <c r="J78">
        <v>13</v>
      </c>
      <c r="K78">
        <f t="shared" si="4"/>
        <v>0.27393617021276595</v>
      </c>
      <c r="L78">
        <f t="shared" si="5"/>
        <v>6.5728929756992348E-4</v>
      </c>
    </row>
    <row r="79" spans="1:12" x14ac:dyDescent="0.3">
      <c r="A79">
        <v>85</v>
      </c>
      <c r="B79" t="s">
        <v>96</v>
      </c>
      <c r="C79" t="s">
        <v>89</v>
      </c>
      <c r="D79">
        <v>72</v>
      </c>
      <c r="E79">
        <v>11286</v>
      </c>
      <c r="F79">
        <v>107</v>
      </c>
      <c r="G79">
        <v>5</v>
      </c>
      <c r="H79">
        <v>61</v>
      </c>
      <c r="I79">
        <v>0</v>
      </c>
      <c r="J79">
        <v>13</v>
      </c>
      <c r="K79">
        <f t="shared" si="4"/>
        <v>0.25797872340425532</v>
      </c>
      <c r="L79">
        <f t="shared" si="5"/>
        <v>5.5364688630055072E-4</v>
      </c>
    </row>
    <row r="80" spans="1:12" x14ac:dyDescent="0.3">
      <c r="A80">
        <v>115</v>
      </c>
      <c r="B80" t="s">
        <v>97</v>
      </c>
      <c r="C80" t="s">
        <v>89</v>
      </c>
      <c r="D80">
        <v>91.75</v>
      </c>
      <c r="E80">
        <v>17612</v>
      </c>
      <c r="F80">
        <v>82</v>
      </c>
      <c r="G80">
        <v>0</v>
      </c>
      <c r="H80">
        <v>190</v>
      </c>
      <c r="I80">
        <v>0</v>
      </c>
      <c r="J80">
        <v>13</v>
      </c>
      <c r="K80">
        <f t="shared" si="4"/>
        <v>4.7872340425531915E-2</v>
      </c>
      <c r="L80">
        <f t="shared" si="5"/>
        <v>2.7877396578287693E-5</v>
      </c>
    </row>
    <row r="81" spans="1:12" x14ac:dyDescent="0.3">
      <c r="A81">
        <v>4</v>
      </c>
      <c r="B81" t="s">
        <v>98</v>
      </c>
      <c r="C81" t="s">
        <v>99</v>
      </c>
      <c r="D81">
        <v>3.25</v>
      </c>
      <c r="E81">
        <v>2858615</v>
      </c>
      <c r="F81">
        <v>3</v>
      </c>
      <c r="G81">
        <v>137</v>
      </c>
      <c r="H81">
        <v>4</v>
      </c>
      <c r="I81">
        <v>85</v>
      </c>
      <c r="J81">
        <v>3</v>
      </c>
      <c r="K81">
        <f t="shared" si="4"/>
        <v>0.98936170212765961</v>
      </c>
      <c r="L81">
        <f t="shared" si="5"/>
        <v>0.89907567156708545</v>
      </c>
    </row>
    <row r="82" spans="1:12" x14ac:dyDescent="0.3">
      <c r="A82">
        <v>7</v>
      </c>
      <c r="B82" t="s">
        <v>100</v>
      </c>
      <c r="C82" t="s">
        <v>99</v>
      </c>
      <c r="D82">
        <v>7.5</v>
      </c>
      <c r="E82">
        <v>1287354</v>
      </c>
      <c r="F82">
        <v>7</v>
      </c>
      <c r="G82">
        <v>38</v>
      </c>
      <c r="H82">
        <v>9</v>
      </c>
      <c r="I82">
        <v>6</v>
      </c>
      <c r="J82">
        <v>7</v>
      </c>
      <c r="K82">
        <f t="shared" si="4"/>
        <v>0.94414893617021278</v>
      </c>
      <c r="L82">
        <f t="shared" si="5"/>
        <v>0.57204100528623447</v>
      </c>
    </row>
    <row r="83" spans="1:12" x14ac:dyDescent="0.3">
      <c r="A83">
        <v>13</v>
      </c>
      <c r="B83" t="s">
        <v>101</v>
      </c>
      <c r="C83" t="s">
        <v>99</v>
      </c>
      <c r="D83">
        <v>13.5</v>
      </c>
      <c r="E83">
        <v>369388</v>
      </c>
      <c r="F83">
        <v>15</v>
      </c>
      <c r="G83">
        <v>36</v>
      </c>
      <c r="H83">
        <v>11</v>
      </c>
      <c r="I83">
        <v>0</v>
      </c>
      <c r="J83">
        <v>13</v>
      </c>
      <c r="K83">
        <f t="shared" si="4"/>
        <v>0.88031914893617025</v>
      </c>
      <c r="L83">
        <f t="shared" si="5"/>
        <v>0.30212532212964033</v>
      </c>
    </row>
    <row r="84" spans="1:12" x14ac:dyDescent="0.3">
      <c r="A84">
        <v>17</v>
      </c>
      <c r="B84" t="s">
        <v>102</v>
      </c>
      <c r="C84" t="s">
        <v>99</v>
      </c>
      <c r="D84">
        <v>16.75</v>
      </c>
      <c r="E84">
        <v>346505</v>
      </c>
      <c r="F84">
        <v>17</v>
      </c>
      <c r="G84">
        <v>22</v>
      </c>
      <c r="H84">
        <v>20</v>
      </c>
      <c r="I84">
        <v>0</v>
      </c>
      <c r="J84">
        <v>13</v>
      </c>
      <c r="K84">
        <f t="shared" si="4"/>
        <v>0.8457446808510638</v>
      </c>
      <c r="L84">
        <f t="shared" si="5"/>
        <v>0.21379875009985169</v>
      </c>
    </row>
    <row r="85" spans="1:12" x14ac:dyDescent="0.3">
      <c r="A85">
        <v>18</v>
      </c>
      <c r="B85" t="s">
        <v>103</v>
      </c>
      <c r="C85" t="s">
        <v>99</v>
      </c>
      <c r="D85">
        <v>17.5</v>
      </c>
      <c r="E85">
        <v>322168</v>
      </c>
      <c r="F85">
        <v>18</v>
      </c>
      <c r="G85">
        <v>21</v>
      </c>
      <c r="H85">
        <v>21</v>
      </c>
      <c r="I85">
        <v>0</v>
      </c>
      <c r="J85">
        <v>13</v>
      </c>
      <c r="K85">
        <f t="shared" si="4"/>
        <v>0.83776595744680848</v>
      </c>
      <c r="L85">
        <f t="shared" si="5"/>
        <v>0.19739963549691089</v>
      </c>
    </row>
    <row r="86" spans="1:12" x14ac:dyDescent="0.3">
      <c r="A86">
        <v>51</v>
      </c>
      <c r="B86" t="s">
        <v>104</v>
      </c>
      <c r="C86" t="s">
        <v>99</v>
      </c>
      <c r="D86">
        <v>44.75</v>
      </c>
      <c r="E86">
        <v>72633</v>
      </c>
      <c r="F86">
        <v>39</v>
      </c>
      <c r="G86">
        <v>2</v>
      </c>
      <c r="H86">
        <v>88</v>
      </c>
      <c r="I86">
        <v>0</v>
      </c>
      <c r="J86">
        <v>13</v>
      </c>
      <c r="K86">
        <f t="shared" si="4"/>
        <v>0.5478723404255319</v>
      </c>
      <c r="L86">
        <f t="shared" si="5"/>
        <v>1.0830223418023893E-2</v>
      </c>
    </row>
    <row r="87" spans="1:12" x14ac:dyDescent="0.3">
      <c r="A87">
        <v>97</v>
      </c>
      <c r="B87" t="s">
        <v>105</v>
      </c>
      <c r="C87" t="s">
        <v>99</v>
      </c>
      <c r="D87">
        <v>76.25</v>
      </c>
      <c r="E87">
        <v>12701</v>
      </c>
      <c r="F87">
        <v>102</v>
      </c>
      <c r="G87">
        <v>2</v>
      </c>
      <c r="H87">
        <v>88</v>
      </c>
      <c r="I87">
        <v>0</v>
      </c>
      <c r="J87">
        <v>13</v>
      </c>
      <c r="K87">
        <f t="shared" si="4"/>
        <v>0.21276595744680851</v>
      </c>
      <c r="L87">
        <f t="shared" si="5"/>
        <v>3.3575659828650361E-4</v>
      </c>
    </row>
    <row r="88" spans="1:12" x14ac:dyDescent="0.3">
      <c r="A88">
        <v>113</v>
      </c>
      <c r="B88" t="s">
        <v>106</v>
      </c>
      <c r="C88" t="s">
        <v>99</v>
      </c>
      <c r="D88">
        <v>89.75</v>
      </c>
      <c r="E88">
        <v>18723</v>
      </c>
      <c r="F88">
        <v>78</v>
      </c>
      <c r="G88">
        <v>0</v>
      </c>
      <c r="H88">
        <v>190</v>
      </c>
      <c r="I88">
        <v>0</v>
      </c>
      <c r="J88">
        <v>13</v>
      </c>
      <c r="K88">
        <f t="shared" si="4"/>
        <v>6.9148936170212769E-2</v>
      </c>
      <c r="L88">
        <f t="shared" si="5"/>
        <v>4.5251579168173629E-5</v>
      </c>
    </row>
    <row r="89" spans="1:12" x14ac:dyDescent="0.3">
      <c r="A89">
        <v>114</v>
      </c>
      <c r="B89" t="s">
        <v>107</v>
      </c>
      <c r="C89" t="s">
        <v>99</v>
      </c>
      <c r="D89">
        <v>90.25</v>
      </c>
      <c r="E89">
        <v>5705</v>
      </c>
      <c r="F89">
        <v>130</v>
      </c>
      <c r="G89">
        <v>2</v>
      </c>
      <c r="H89">
        <v>88</v>
      </c>
      <c r="I89">
        <v>0</v>
      </c>
      <c r="J89">
        <v>13</v>
      </c>
      <c r="K89">
        <f t="shared" si="4"/>
        <v>6.3829787234042548E-2</v>
      </c>
      <c r="L89">
        <f t="shared" si="5"/>
        <v>4.0555581470415343E-5</v>
      </c>
    </row>
    <row r="90" spans="1:12" x14ac:dyDescent="0.3">
      <c r="A90">
        <v>119</v>
      </c>
      <c r="B90" t="s">
        <v>108</v>
      </c>
      <c r="C90" t="s">
        <v>99</v>
      </c>
      <c r="D90">
        <v>95.25</v>
      </c>
      <c r="E90">
        <v>16246</v>
      </c>
      <c r="F90">
        <v>89</v>
      </c>
      <c r="G90">
        <v>0</v>
      </c>
      <c r="H90">
        <v>190</v>
      </c>
      <c r="I90">
        <v>0</v>
      </c>
      <c r="J90">
        <v>13</v>
      </c>
      <c r="K90">
        <f t="shared" si="4"/>
        <v>1.0638297872340425E-2</v>
      </c>
      <c r="L90">
        <f t="shared" si="5"/>
        <v>5.096271889209455E-6</v>
      </c>
    </row>
    <row r="91" spans="1:12" x14ac:dyDescent="0.3">
      <c r="A91">
        <v>23</v>
      </c>
      <c r="B91" t="s">
        <v>109</v>
      </c>
      <c r="C91" t="s">
        <v>110</v>
      </c>
      <c r="D91">
        <v>21.5</v>
      </c>
      <c r="E91">
        <v>280172</v>
      </c>
      <c r="F91">
        <v>20</v>
      </c>
      <c r="G91">
        <v>12</v>
      </c>
      <c r="H91">
        <v>33</v>
      </c>
      <c r="I91">
        <v>0</v>
      </c>
      <c r="J91">
        <v>13</v>
      </c>
      <c r="K91">
        <f t="shared" si="4"/>
        <v>0.79521276595744683</v>
      </c>
      <c r="L91">
        <f t="shared" si="5"/>
        <v>0.12896955451099998</v>
      </c>
    </row>
    <row r="92" spans="1:12" x14ac:dyDescent="0.3">
      <c r="A92">
        <v>24</v>
      </c>
      <c r="B92" t="s">
        <v>111</v>
      </c>
      <c r="C92" t="s">
        <v>110</v>
      </c>
      <c r="D92">
        <v>22.5</v>
      </c>
      <c r="E92">
        <v>282714</v>
      </c>
      <c r="F92">
        <v>19</v>
      </c>
      <c r="G92">
        <v>10</v>
      </c>
      <c r="H92">
        <v>39</v>
      </c>
      <c r="I92">
        <v>0</v>
      </c>
      <c r="J92">
        <v>13</v>
      </c>
      <c r="K92">
        <f t="shared" si="4"/>
        <v>0.78457446808510634</v>
      </c>
      <c r="L92">
        <f t="shared" si="5"/>
        <v>0.11594939780927038</v>
      </c>
    </row>
    <row r="93" spans="1:12" x14ac:dyDescent="0.3">
      <c r="A93">
        <v>36</v>
      </c>
      <c r="B93" t="s">
        <v>112</v>
      </c>
      <c r="C93" t="s">
        <v>110</v>
      </c>
      <c r="D93">
        <v>32.5</v>
      </c>
      <c r="E93">
        <v>68868</v>
      </c>
      <c r="F93">
        <v>42</v>
      </c>
      <c r="G93">
        <v>12</v>
      </c>
      <c r="H93">
        <v>33</v>
      </c>
      <c r="I93">
        <v>0</v>
      </c>
      <c r="J93">
        <v>13</v>
      </c>
      <c r="K93">
        <f t="shared" si="4"/>
        <v>0.67819148936170215</v>
      </c>
      <c r="L93">
        <f t="shared" si="5"/>
        <v>3.9988056772626235E-2</v>
      </c>
    </row>
    <row r="94" spans="1:12" x14ac:dyDescent="0.3">
      <c r="A94">
        <v>62</v>
      </c>
      <c r="B94" t="s">
        <v>113</v>
      </c>
      <c r="C94" t="s">
        <v>110</v>
      </c>
      <c r="D94">
        <v>51.5</v>
      </c>
      <c r="E94">
        <v>26969</v>
      </c>
      <c r="F94">
        <v>70</v>
      </c>
      <c r="G94">
        <v>6</v>
      </c>
      <c r="H94">
        <v>53</v>
      </c>
      <c r="I94">
        <v>0</v>
      </c>
      <c r="J94">
        <v>13</v>
      </c>
      <c r="K94">
        <f t="shared" si="4"/>
        <v>0.47606382978723405</v>
      </c>
      <c r="L94">
        <f t="shared" si="5"/>
        <v>5.2584798633417106E-3</v>
      </c>
    </row>
    <row r="95" spans="1:12" x14ac:dyDescent="0.3">
      <c r="A95">
        <v>73</v>
      </c>
      <c r="B95" t="s">
        <v>114</v>
      </c>
      <c r="C95" t="s">
        <v>110</v>
      </c>
      <c r="D95">
        <v>59.25</v>
      </c>
      <c r="E95">
        <v>26973</v>
      </c>
      <c r="F95">
        <v>68</v>
      </c>
      <c r="G95">
        <v>2</v>
      </c>
      <c r="H95">
        <v>88</v>
      </c>
      <c r="I95">
        <v>0</v>
      </c>
      <c r="J95">
        <v>13</v>
      </c>
      <c r="K95">
        <f t="shared" si="4"/>
        <v>0.39361702127659576</v>
      </c>
      <c r="L95">
        <f t="shared" si="5"/>
        <v>2.2801813169304845E-3</v>
      </c>
    </row>
    <row r="96" spans="1:12" x14ac:dyDescent="0.3">
      <c r="A96">
        <v>89</v>
      </c>
      <c r="B96" t="s">
        <v>115</v>
      </c>
      <c r="C96" t="s">
        <v>110</v>
      </c>
      <c r="D96">
        <v>73.75</v>
      </c>
      <c r="E96">
        <v>12498</v>
      </c>
      <c r="F96">
        <v>103</v>
      </c>
      <c r="G96">
        <v>3</v>
      </c>
      <c r="H96">
        <v>76</v>
      </c>
      <c r="I96">
        <v>0</v>
      </c>
      <c r="J96">
        <v>13</v>
      </c>
      <c r="K96">
        <f t="shared" si="4"/>
        <v>0.23936170212765959</v>
      </c>
      <c r="L96">
        <f t="shared" si="5"/>
        <v>4.5188782164583545E-4</v>
      </c>
    </row>
    <row r="97" spans="1:12" x14ac:dyDescent="0.3">
      <c r="A97">
        <v>101</v>
      </c>
      <c r="B97" t="s">
        <v>116</v>
      </c>
      <c r="C97" t="s">
        <v>110</v>
      </c>
      <c r="D97">
        <v>77.75</v>
      </c>
      <c r="E97">
        <v>11953</v>
      </c>
      <c r="F97">
        <v>105</v>
      </c>
      <c r="G97">
        <v>2</v>
      </c>
      <c r="H97">
        <v>88</v>
      </c>
      <c r="I97">
        <v>0</v>
      </c>
      <c r="J97">
        <v>13</v>
      </c>
      <c r="K97">
        <f t="shared" si="4"/>
        <v>0.19680851063829788</v>
      </c>
      <c r="L97">
        <f t="shared" si="5"/>
        <v>2.795381764663872E-4</v>
      </c>
    </row>
    <row r="98" spans="1:12" x14ac:dyDescent="0.3">
      <c r="A98">
        <v>3</v>
      </c>
      <c r="B98" t="s">
        <v>117</v>
      </c>
      <c r="C98" t="s">
        <v>118</v>
      </c>
      <c r="D98">
        <v>3</v>
      </c>
      <c r="E98">
        <v>2941622</v>
      </c>
      <c r="F98">
        <v>2</v>
      </c>
      <c r="G98">
        <v>132</v>
      </c>
      <c r="H98">
        <v>5</v>
      </c>
      <c r="I98">
        <v>85</v>
      </c>
      <c r="J98">
        <v>3</v>
      </c>
      <c r="K98">
        <f t="shared" ref="K98:K121" si="6">(MAX(D:D)-D98)/(MAX(D:D)-MIN(D:D))</f>
        <v>0.99202127659574468</v>
      </c>
      <c r="L98">
        <f t="shared" ref="L98:L121" si="7">(EXP(10*K98)-1)/(EXP(10)-1)</f>
        <v>0.92330929326313138</v>
      </c>
    </row>
    <row r="99" spans="1:12" x14ac:dyDescent="0.3">
      <c r="A99">
        <v>15</v>
      </c>
      <c r="B99" t="s">
        <v>119</v>
      </c>
      <c r="C99" t="s">
        <v>118</v>
      </c>
      <c r="D99">
        <v>14.5</v>
      </c>
      <c r="E99">
        <v>373193</v>
      </c>
      <c r="F99">
        <v>14</v>
      </c>
      <c r="G99">
        <v>24</v>
      </c>
      <c r="H99">
        <v>17</v>
      </c>
      <c r="I99">
        <v>0</v>
      </c>
      <c r="J99">
        <v>13</v>
      </c>
      <c r="K99">
        <f t="shared" si="6"/>
        <v>0.86968085106382975</v>
      </c>
      <c r="L99">
        <f t="shared" si="7"/>
        <v>0.27163032925906788</v>
      </c>
    </row>
    <row r="100" spans="1:12" x14ac:dyDescent="0.3">
      <c r="A100">
        <v>27</v>
      </c>
      <c r="B100" t="s">
        <v>120</v>
      </c>
      <c r="C100" t="s">
        <v>118</v>
      </c>
      <c r="D100">
        <v>25.5</v>
      </c>
      <c r="E100">
        <v>170203</v>
      </c>
      <c r="F100">
        <v>29</v>
      </c>
      <c r="G100">
        <v>13</v>
      </c>
      <c r="H100">
        <v>31</v>
      </c>
      <c r="I100">
        <v>0</v>
      </c>
      <c r="J100">
        <v>13</v>
      </c>
      <c r="K100">
        <f t="shared" si="6"/>
        <v>0.75265957446808507</v>
      </c>
      <c r="L100">
        <f t="shared" si="7"/>
        <v>8.4255825393516143E-2</v>
      </c>
    </row>
    <row r="101" spans="1:12" x14ac:dyDescent="0.3">
      <c r="A101">
        <v>28</v>
      </c>
      <c r="B101" t="s">
        <v>121</v>
      </c>
      <c r="C101" t="s">
        <v>118</v>
      </c>
      <c r="D101">
        <v>26.5</v>
      </c>
      <c r="E101">
        <v>212275</v>
      </c>
      <c r="F101">
        <v>26</v>
      </c>
      <c r="G101">
        <v>9</v>
      </c>
      <c r="H101">
        <v>41</v>
      </c>
      <c r="I101">
        <v>0</v>
      </c>
      <c r="J101">
        <v>13</v>
      </c>
      <c r="K101">
        <f t="shared" si="6"/>
        <v>0.74202127659574468</v>
      </c>
      <c r="L101">
        <f t="shared" si="7"/>
        <v>7.5748166898297026E-2</v>
      </c>
    </row>
    <row r="102" spans="1:12" x14ac:dyDescent="0.3">
      <c r="A102">
        <v>53</v>
      </c>
      <c r="B102" t="s">
        <v>122</v>
      </c>
      <c r="C102" t="s">
        <v>118</v>
      </c>
      <c r="D102">
        <v>45</v>
      </c>
      <c r="E102">
        <v>275170</v>
      </c>
      <c r="F102">
        <v>22</v>
      </c>
      <c r="G102">
        <v>1</v>
      </c>
      <c r="H102">
        <v>123</v>
      </c>
      <c r="I102">
        <v>0</v>
      </c>
      <c r="J102">
        <v>13</v>
      </c>
      <c r="K102">
        <f t="shared" si="6"/>
        <v>0.54521276595744683</v>
      </c>
      <c r="L102">
        <f t="shared" si="7"/>
        <v>1.0544790535920138E-2</v>
      </c>
    </row>
    <row r="103" spans="1:12" x14ac:dyDescent="0.3">
      <c r="A103">
        <v>65</v>
      </c>
      <c r="B103" t="s">
        <v>123</v>
      </c>
      <c r="C103" t="s">
        <v>118</v>
      </c>
      <c r="D103">
        <v>53.75</v>
      </c>
      <c r="E103">
        <v>21383</v>
      </c>
      <c r="F103">
        <v>76</v>
      </c>
      <c r="G103">
        <v>7</v>
      </c>
      <c r="H103">
        <v>50</v>
      </c>
      <c r="I103">
        <v>0</v>
      </c>
      <c r="J103">
        <v>13</v>
      </c>
      <c r="K103">
        <f t="shared" si="6"/>
        <v>0.4521276595744681</v>
      </c>
      <c r="L103">
        <f t="shared" si="7"/>
        <v>4.1294431919405815E-3</v>
      </c>
    </row>
    <row r="104" spans="1:12" x14ac:dyDescent="0.3">
      <c r="A104">
        <v>74</v>
      </c>
      <c r="B104" t="s">
        <v>124</v>
      </c>
      <c r="C104" t="s">
        <v>118</v>
      </c>
      <c r="D104">
        <v>59.75</v>
      </c>
      <c r="E104">
        <v>22712</v>
      </c>
      <c r="F104">
        <v>75</v>
      </c>
      <c r="G104">
        <v>3</v>
      </c>
      <c r="H104">
        <v>76</v>
      </c>
      <c r="I104">
        <v>0</v>
      </c>
      <c r="J104">
        <v>13</v>
      </c>
      <c r="K104">
        <f t="shared" si="6"/>
        <v>0.38829787234042551</v>
      </c>
      <c r="L104">
        <f t="shared" si="7"/>
        <v>2.1597124392171703E-3</v>
      </c>
    </row>
    <row r="105" spans="1:12" x14ac:dyDescent="0.3">
      <c r="A105">
        <v>107</v>
      </c>
      <c r="B105" t="s">
        <v>125</v>
      </c>
      <c r="C105" t="s">
        <v>118</v>
      </c>
      <c r="D105">
        <v>84.25</v>
      </c>
      <c r="E105">
        <v>8305</v>
      </c>
      <c r="F105">
        <v>118</v>
      </c>
      <c r="G105">
        <v>2</v>
      </c>
      <c r="H105">
        <v>88</v>
      </c>
      <c r="I105">
        <v>0</v>
      </c>
      <c r="J105">
        <v>13</v>
      </c>
      <c r="K105">
        <f t="shared" si="6"/>
        <v>0.1276595744680851</v>
      </c>
      <c r="L105">
        <f t="shared" si="7"/>
        <v>1.1733766208384279E-4</v>
      </c>
    </row>
    <row r="106" spans="1:12" x14ac:dyDescent="0.3">
      <c r="A106">
        <v>110</v>
      </c>
      <c r="B106" t="s">
        <v>126</v>
      </c>
      <c r="C106" t="s">
        <v>118</v>
      </c>
      <c r="D106">
        <v>86.25</v>
      </c>
      <c r="E106">
        <v>26060</v>
      </c>
      <c r="F106">
        <v>71</v>
      </c>
      <c r="G106">
        <v>0</v>
      </c>
      <c r="H106">
        <v>190</v>
      </c>
      <c r="I106">
        <v>0</v>
      </c>
      <c r="J106">
        <v>13</v>
      </c>
      <c r="K106">
        <f t="shared" si="6"/>
        <v>0.10638297872340426</v>
      </c>
      <c r="L106">
        <f t="shared" si="7"/>
        <v>8.6147843062769173E-5</v>
      </c>
    </row>
    <row r="107" spans="1:12" x14ac:dyDescent="0.3">
      <c r="A107">
        <v>10</v>
      </c>
      <c r="B107" t="s">
        <v>127</v>
      </c>
      <c r="C107" t="s">
        <v>128</v>
      </c>
      <c r="D107">
        <v>10.25</v>
      </c>
      <c r="E107">
        <v>512837</v>
      </c>
      <c r="F107">
        <v>10</v>
      </c>
      <c r="G107">
        <v>49</v>
      </c>
      <c r="H107">
        <v>8</v>
      </c>
      <c r="I107">
        <v>0</v>
      </c>
      <c r="J107">
        <v>13</v>
      </c>
      <c r="K107">
        <f t="shared" si="6"/>
        <v>0.91489361702127658</v>
      </c>
      <c r="L107">
        <f t="shared" si="7"/>
        <v>0.4269344598515617</v>
      </c>
    </row>
    <row r="108" spans="1:12" x14ac:dyDescent="0.3">
      <c r="A108">
        <v>11</v>
      </c>
      <c r="B108" t="s">
        <v>129</v>
      </c>
      <c r="C108" t="s">
        <v>128</v>
      </c>
      <c r="D108">
        <v>11.75</v>
      </c>
      <c r="E108">
        <v>434763</v>
      </c>
      <c r="F108">
        <v>12</v>
      </c>
      <c r="G108">
        <v>33</v>
      </c>
      <c r="H108">
        <v>13</v>
      </c>
      <c r="I108">
        <v>1</v>
      </c>
      <c r="J108">
        <v>10</v>
      </c>
      <c r="K108">
        <f t="shared" si="6"/>
        <v>0.89893617021276595</v>
      </c>
      <c r="L108">
        <f t="shared" si="7"/>
        <v>0.36395769727595184</v>
      </c>
    </row>
    <row r="109" spans="1:12" x14ac:dyDescent="0.3">
      <c r="A109">
        <v>44</v>
      </c>
      <c r="B109" t="s">
        <v>130</v>
      </c>
      <c r="C109" t="s">
        <v>128</v>
      </c>
      <c r="D109">
        <v>40.75</v>
      </c>
      <c r="E109">
        <v>155355</v>
      </c>
      <c r="F109">
        <v>31</v>
      </c>
      <c r="G109">
        <v>2</v>
      </c>
      <c r="H109">
        <v>88</v>
      </c>
      <c r="I109">
        <v>0</v>
      </c>
      <c r="J109">
        <v>13</v>
      </c>
      <c r="K109">
        <f t="shared" si="6"/>
        <v>0.59042553191489366</v>
      </c>
      <c r="L109">
        <f t="shared" si="7"/>
        <v>1.6598701334776183E-2</v>
      </c>
    </row>
    <row r="110" spans="1:12" x14ac:dyDescent="0.3">
      <c r="A110">
        <v>47</v>
      </c>
      <c r="B110" t="s">
        <v>131</v>
      </c>
      <c r="C110" t="s">
        <v>128</v>
      </c>
      <c r="D110">
        <v>43.25</v>
      </c>
      <c r="E110">
        <v>53338</v>
      </c>
      <c r="F110">
        <v>55</v>
      </c>
      <c r="G110">
        <v>7</v>
      </c>
      <c r="H110">
        <v>50</v>
      </c>
      <c r="I110">
        <v>0</v>
      </c>
      <c r="J110">
        <v>13</v>
      </c>
      <c r="K110">
        <f t="shared" si="6"/>
        <v>0.56382978723404253</v>
      </c>
      <c r="L110">
        <f t="shared" si="7"/>
        <v>1.2711832889551114E-2</v>
      </c>
    </row>
    <row r="111" spans="1:12" x14ac:dyDescent="0.3">
      <c r="A111">
        <v>86</v>
      </c>
      <c r="B111" t="s">
        <v>132</v>
      </c>
      <c r="C111" t="s">
        <v>128</v>
      </c>
      <c r="D111">
        <v>72.25</v>
      </c>
      <c r="E111">
        <v>14625</v>
      </c>
      <c r="F111">
        <v>94</v>
      </c>
      <c r="G111">
        <v>2</v>
      </c>
      <c r="H111">
        <v>88</v>
      </c>
      <c r="I111">
        <v>0</v>
      </c>
      <c r="J111">
        <v>13</v>
      </c>
      <c r="K111">
        <f t="shared" si="6"/>
        <v>0.25531914893617019</v>
      </c>
      <c r="L111">
        <f t="shared" si="7"/>
        <v>5.3792473321594234E-4</v>
      </c>
    </row>
    <row r="112" spans="1:12" x14ac:dyDescent="0.3">
      <c r="A112">
        <v>87</v>
      </c>
      <c r="B112" t="s">
        <v>133</v>
      </c>
      <c r="C112" t="s">
        <v>128</v>
      </c>
      <c r="D112">
        <v>72.5</v>
      </c>
      <c r="E112">
        <v>21210</v>
      </c>
      <c r="F112">
        <v>77</v>
      </c>
      <c r="G112">
        <v>1</v>
      </c>
      <c r="H112">
        <v>123</v>
      </c>
      <c r="I112">
        <v>0</v>
      </c>
      <c r="J112">
        <v>13</v>
      </c>
      <c r="K112">
        <f t="shared" si="6"/>
        <v>0.25265957446808512</v>
      </c>
      <c r="L112">
        <f t="shared" si="7"/>
        <v>5.226152110650999E-4</v>
      </c>
    </row>
    <row r="113" spans="1:12" x14ac:dyDescent="0.3">
      <c r="A113">
        <v>92</v>
      </c>
      <c r="B113" t="s">
        <v>134</v>
      </c>
      <c r="C113" t="s">
        <v>128</v>
      </c>
      <c r="D113">
        <v>74.25</v>
      </c>
      <c r="E113">
        <v>12388</v>
      </c>
      <c r="F113">
        <v>104</v>
      </c>
      <c r="G113">
        <v>3</v>
      </c>
      <c r="H113">
        <v>76</v>
      </c>
      <c r="I113">
        <v>0</v>
      </c>
      <c r="J113">
        <v>13</v>
      </c>
      <c r="K113">
        <f t="shared" si="6"/>
        <v>0.23404255319148937</v>
      </c>
      <c r="L113">
        <f t="shared" si="7"/>
        <v>4.2612742621113604E-4</v>
      </c>
    </row>
    <row r="114" spans="1:12" x14ac:dyDescent="0.3">
      <c r="A114">
        <v>99</v>
      </c>
      <c r="B114" t="s">
        <v>135</v>
      </c>
      <c r="C114" t="s">
        <v>128</v>
      </c>
      <c r="D114">
        <v>77.5</v>
      </c>
      <c r="E114">
        <v>16305</v>
      </c>
      <c r="F114">
        <v>87</v>
      </c>
      <c r="G114">
        <v>1</v>
      </c>
      <c r="H114">
        <v>123</v>
      </c>
      <c r="I114">
        <v>0</v>
      </c>
      <c r="J114">
        <v>13</v>
      </c>
      <c r="K114">
        <f t="shared" si="6"/>
        <v>0.19946808510638298</v>
      </c>
      <c r="L114">
        <f t="shared" si="7"/>
        <v>2.882961483614329E-4</v>
      </c>
    </row>
    <row r="115" spans="1:12" x14ac:dyDescent="0.3">
      <c r="A115">
        <v>104</v>
      </c>
      <c r="B115" t="s">
        <v>136</v>
      </c>
      <c r="C115" t="s">
        <v>128</v>
      </c>
      <c r="D115">
        <v>81.75</v>
      </c>
      <c r="E115">
        <v>33677</v>
      </c>
      <c r="F115">
        <v>62</v>
      </c>
      <c r="G115">
        <v>0</v>
      </c>
      <c r="H115">
        <v>190</v>
      </c>
      <c r="I115">
        <v>0</v>
      </c>
      <c r="J115">
        <v>13</v>
      </c>
      <c r="K115">
        <f t="shared" si="6"/>
        <v>0.15425531914893617</v>
      </c>
      <c r="L115">
        <f t="shared" si="7"/>
        <v>1.6692110460240765E-4</v>
      </c>
    </row>
    <row r="116" spans="1:12" x14ac:dyDescent="0.3">
      <c r="A116">
        <v>34</v>
      </c>
      <c r="B116" t="s">
        <v>137</v>
      </c>
      <c r="C116" t="s">
        <v>138</v>
      </c>
      <c r="D116">
        <v>31</v>
      </c>
      <c r="E116">
        <v>213773</v>
      </c>
      <c r="F116">
        <v>25</v>
      </c>
      <c r="G116">
        <v>5</v>
      </c>
      <c r="H116">
        <v>61</v>
      </c>
      <c r="I116">
        <v>0</v>
      </c>
      <c r="J116">
        <v>13</v>
      </c>
      <c r="K116">
        <f t="shared" si="6"/>
        <v>0.69414893617021278</v>
      </c>
      <c r="L116">
        <f t="shared" si="7"/>
        <v>4.6914309963094057E-2</v>
      </c>
    </row>
    <row r="117" spans="1:12" x14ac:dyDescent="0.3">
      <c r="A117">
        <v>41</v>
      </c>
      <c r="B117" t="s">
        <v>139</v>
      </c>
      <c r="C117" t="s">
        <v>138</v>
      </c>
      <c r="D117">
        <v>39.5</v>
      </c>
      <c r="E117">
        <v>60235</v>
      </c>
      <c r="F117">
        <v>46</v>
      </c>
      <c r="G117">
        <v>6</v>
      </c>
      <c r="H117">
        <v>53</v>
      </c>
      <c r="I117">
        <v>0</v>
      </c>
      <c r="J117">
        <v>13</v>
      </c>
      <c r="K117">
        <f t="shared" si="6"/>
        <v>0.60372340425531912</v>
      </c>
      <c r="L117">
        <f t="shared" si="7"/>
        <v>1.8965920504561945E-2</v>
      </c>
    </row>
    <row r="118" spans="1:12" x14ac:dyDescent="0.3">
      <c r="A118">
        <v>84</v>
      </c>
      <c r="B118" t="s">
        <v>140</v>
      </c>
      <c r="C118" t="s">
        <v>138</v>
      </c>
      <c r="D118">
        <v>71.25</v>
      </c>
      <c r="E118">
        <v>15383</v>
      </c>
      <c r="F118">
        <v>92</v>
      </c>
      <c r="G118">
        <v>2</v>
      </c>
      <c r="H118">
        <v>88</v>
      </c>
      <c r="I118">
        <v>0</v>
      </c>
      <c r="J118">
        <v>13</v>
      </c>
      <c r="K118">
        <f t="shared" si="6"/>
        <v>0.26595744680851063</v>
      </c>
      <c r="L118">
        <f t="shared" si="7"/>
        <v>6.0340185262820322E-4</v>
      </c>
    </row>
    <row r="119" spans="1:12" x14ac:dyDescent="0.3">
      <c r="A119">
        <v>91</v>
      </c>
      <c r="B119" t="s">
        <v>141</v>
      </c>
      <c r="C119" t="s">
        <v>138</v>
      </c>
      <c r="D119">
        <v>74.25</v>
      </c>
      <c r="E119">
        <v>13247</v>
      </c>
      <c r="F119">
        <v>98</v>
      </c>
      <c r="G119">
        <v>2</v>
      </c>
      <c r="H119">
        <v>88</v>
      </c>
      <c r="I119">
        <v>0</v>
      </c>
      <c r="J119">
        <v>13</v>
      </c>
      <c r="K119">
        <f t="shared" si="6"/>
        <v>0.23404255319148937</v>
      </c>
      <c r="L119">
        <f t="shared" si="7"/>
        <v>4.2612742621113604E-4</v>
      </c>
    </row>
    <row r="120" spans="1:12" x14ac:dyDescent="0.3">
      <c r="A120">
        <v>109</v>
      </c>
      <c r="B120" t="s">
        <v>142</v>
      </c>
      <c r="C120" t="s">
        <v>138</v>
      </c>
      <c r="D120">
        <v>85.25</v>
      </c>
      <c r="E120">
        <v>7447</v>
      </c>
      <c r="F120">
        <v>120</v>
      </c>
      <c r="G120">
        <v>2</v>
      </c>
      <c r="H120">
        <v>88</v>
      </c>
      <c r="I120">
        <v>0</v>
      </c>
      <c r="J120">
        <v>13</v>
      </c>
      <c r="K120">
        <f t="shared" si="6"/>
        <v>0.11702127659574468</v>
      </c>
      <c r="L120">
        <f t="shared" si="7"/>
        <v>1.0091401755213419E-4</v>
      </c>
    </row>
    <row r="121" spans="1:12" x14ac:dyDescent="0.3">
      <c r="A121">
        <v>120</v>
      </c>
      <c r="B121" t="s">
        <v>143</v>
      </c>
      <c r="C121" t="s">
        <v>138</v>
      </c>
      <c r="D121">
        <v>96.25</v>
      </c>
      <c r="E121">
        <v>4187</v>
      </c>
      <c r="F121">
        <v>142</v>
      </c>
      <c r="G121">
        <v>2</v>
      </c>
      <c r="H121">
        <v>88</v>
      </c>
      <c r="I121">
        <v>0</v>
      </c>
      <c r="J121">
        <v>13</v>
      </c>
      <c r="K121">
        <f t="shared" si="6"/>
        <v>0</v>
      </c>
      <c r="L121">
        <f t="shared" si="7"/>
        <v>0</v>
      </c>
    </row>
  </sheetData>
  <sortState xmlns:xlrd2="http://schemas.microsoft.com/office/spreadsheetml/2017/richdata2" ref="A2:L121">
    <sortCondition ref="C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qianyunyi</dc:creator>
  <cp:lastModifiedBy>皓宇 游</cp:lastModifiedBy>
  <dcterms:created xsi:type="dcterms:W3CDTF">2026-01-30T23:54:18Z</dcterms:created>
  <dcterms:modified xsi:type="dcterms:W3CDTF">2026-01-31T01:10:55Z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B23E2AFFE933C4552AD47C6970506449_41</vt:lpwstr>
  </property>
  <property fmtid="{D5CDD505-2E9C-101B-9397-08002B2CF9AE}" pid="3" name="KSOProductBuildVer">
    <vt:lpwstr>2052-6.1.0.8274</vt:lpwstr>
  </property>
</Properties>
</file>